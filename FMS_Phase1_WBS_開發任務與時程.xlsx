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WBS" sheetId="2" state="visible" r:id="rId4"/>
    <sheet name="Sprint 摘要" sheetId="3" state="visible" r:id="rId5"/>
    <sheet name="資源負載" sheetId="4" state="visible" r:id="rId6"/>
    <sheet name="里程碑" sheetId="5" state="visible" r:id="rId7"/>
    <sheet name="假設與風險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<sst xmlns="http://schemas.openxmlformats.org/spreadsheetml/2006/main" count="1664" uniqueCount="846">
  <si>
    <r>
      <rPr>
        <b val="true"/>
        <sz val="16"/>
        <color rgb="FF0A0E18"/>
        <rFont val="Arial"/>
        <family val="0"/>
        <charset val="1"/>
      </rPr>
      <t xml:space="preserve">Bizlution FMS </t>
    </r>
    <r>
      <rPr>
        <b val="true"/>
        <sz val="16"/>
        <color rgb="FF0A0E18"/>
        <rFont val="Noto Sans CJK SC"/>
        <family val="2"/>
      </rPr>
      <t xml:space="preserve">第一階段後端開發 — 工作分解結構（</t>
    </r>
    <r>
      <rPr>
        <b val="true"/>
        <sz val="16"/>
        <color rgb="FF0A0E18"/>
        <rFont val="Arial"/>
        <family val="0"/>
        <charset val="1"/>
      </rPr>
      <t xml:space="preserve">WBS</t>
    </r>
    <r>
      <rPr>
        <b val="true"/>
        <sz val="16"/>
        <color rgb="FF0A0E18"/>
        <rFont val="Noto Sans CJK SC"/>
        <family val="2"/>
      </rPr>
      <t xml:space="preserve">）</t>
    </r>
  </si>
  <si>
    <t xml:space="preserve">文件版本</t>
  </si>
  <si>
    <r>
      <rPr>
        <sz val="10"/>
        <color rgb="FF1A1F26"/>
        <rFont val="Arial"/>
        <family val="0"/>
        <charset val="1"/>
      </rPr>
      <t xml:space="preserve">v1.0</t>
    </r>
    <r>
      <rPr>
        <sz val="10"/>
        <color rgb="FF1A1F26"/>
        <rFont val="Noto Sans CJK SC"/>
        <family val="2"/>
      </rPr>
      <t xml:space="preserve">（與《</t>
    </r>
    <r>
      <rPr>
        <sz val="10"/>
        <color rgb="FF1A1F26"/>
        <rFont val="Arial"/>
        <family val="0"/>
        <charset val="1"/>
      </rPr>
      <t xml:space="preserve">FMS_Phase1_</t>
    </r>
    <r>
      <rPr>
        <sz val="10"/>
        <color rgb="FF1A1F26"/>
        <rFont val="Noto Sans CJK SC"/>
        <family val="2"/>
      </rPr>
      <t xml:space="preserve">後端工程開發規格書</t>
    </r>
    <r>
      <rPr>
        <sz val="10"/>
        <color rgb="FF1A1F26"/>
        <rFont val="Arial"/>
        <family val="0"/>
        <charset val="1"/>
      </rPr>
      <t xml:space="preserve">.docx</t>
    </r>
    <r>
      <rPr>
        <sz val="10"/>
        <color rgb="FF1A1F26"/>
        <rFont val="Noto Sans CJK SC"/>
        <family val="2"/>
      </rPr>
      <t xml:space="preserve">》同一基準）</t>
    </r>
  </si>
  <si>
    <t xml:space="preserve">建立日期</t>
  </si>
  <si>
    <t xml:space="preserve">2026-07-28</t>
  </si>
  <si>
    <t xml:space="preserve">專案期間</t>
  </si>
  <si>
    <r>
      <rPr>
        <sz val="10"/>
        <color rgb="FF1A1F26"/>
        <rFont val="Arial"/>
        <family val="0"/>
        <charset val="1"/>
      </rPr>
      <t xml:space="preserve">2026-08-03 </t>
    </r>
    <r>
      <rPr>
        <sz val="10"/>
        <color rgb="FF1A1F26"/>
        <rFont val="Noto Sans CJK SC"/>
        <family val="2"/>
      </rPr>
      <t xml:space="preserve">～ </t>
    </r>
    <r>
      <rPr>
        <sz val="10"/>
        <color rgb="FF1A1F26"/>
        <rFont val="Arial"/>
        <family val="0"/>
        <charset val="1"/>
      </rPr>
      <t xml:space="preserve">2027-01-29</t>
    </r>
    <r>
      <rPr>
        <sz val="10"/>
        <color rgb="FF1A1F26"/>
        <rFont val="Noto Sans CJK SC"/>
        <family val="2"/>
      </rPr>
      <t xml:space="preserve">（</t>
    </r>
    <r>
      <rPr>
        <sz val="10"/>
        <color rgb="FF1A1F26"/>
        <rFont val="Arial"/>
        <family val="0"/>
        <charset val="1"/>
      </rPr>
      <t xml:space="preserve">13 </t>
    </r>
    <r>
      <rPr>
        <sz val="10"/>
        <color rgb="FF1A1F26"/>
        <rFont val="Noto Sans CJK SC"/>
        <family val="2"/>
      </rPr>
      <t xml:space="preserve">個 </t>
    </r>
    <r>
      <rPr>
        <sz val="10"/>
        <color rgb="FF1A1F26"/>
        <rFont val="Arial"/>
        <family val="0"/>
        <charset val="1"/>
      </rPr>
      <t xml:space="preserve">Sprint</t>
    </r>
    <r>
      <rPr>
        <sz val="10"/>
        <color rgb="FF1A1F26"/>
        <rFont val="Noto Sans CJK SC"/>
        <family val="2"/>
      </rPr>
      <t xml:space="preserve">，每 </t>
    </r>
    <r>
      <rPr>
        <sz val="10"/>
        <color rgb="FF1A1F26"/>
        <rFont val="Arial"/>
        <family val="0"/>
        <charset val="1"/>
      </rPr>
      <t xml:space="preserve">Sprint 2 </t>
    </r>
    <r>
      <rPr>
        <sz val="10"/>
        <color rgb="FF1A1F26"/>
        <rFont val="Noto Sans CJK SC"/>
        <family val="2"/>
      </rPr>
      <t xml:space="preserve">週，共 </t>
    </r>
    <r>
      <rPr>
        <sz val="10"/>
        <color rgb="FF1A1F26"/>
        <rFont val="Arial"/>
        <family val="0"/>
        <charset val="1"/>
      </rPr>
      <t xml:space="preserve">26 </t>
    </r>
    <r>
      <rPr>
        <sz val="10"/>
        <color rgb="FF1A1F26"/>
        <rFont val="Noto Sans CJK SC"/>
        <family val="2"/>
      </rPr>
      <t xml:space="preserve">週；</t>
    </r>
    <r>
      <rPr>
        <sz val="10"/>
        <color rgb="FF1A1F26"/>
        <rFont val="Arial"/>
        <family val="0"/>
        <charset val="1"/>
      </rPr>
      <t xml:space="preserve">S9–S10 </t>
    </r>
    <r>
      <rPr>
        <sz val="10"/>
        <color rgb="FF1A1F26"/>
        <rFont val="Noto Sans CJK SC"/>
        <family val="2"/>
      </rPr>
      <t xml:space="preserve">對標補強、</t>
    </r>
    <r>
      <rPr>
        <sz val="10"/>
        <color rgb="FF1A1F26"/>
        <rFont val="Arial"/>
        <family val="0"/>
        <charset val="1"/>
      </rPr>
      <t xml:space="preserve">S11–S12 </t>
    </r>
    <r>
      <rPr>
        <sz val="10"/>
        <color rgb="FF1A1F26"/>
        <rFont val="Noto Sans CJK SC"/>
        <family val="2"/>
      </rPr>
      <t xml:space="preserve">完成全部 </t>
    </r>
    <r>
      <rPr>
        <sz val="10"/>
        <color rgb="FF1A1F26"/>
        <rFont val="Arial"/>
        <family val="0"/>
        <charset val="1"/>
      </rPr>
      <t xml:space="preserve">P2</t>
    </r>
    <r>
      <rPr>
        <sz val="10"/>
        <color rgb="FF1A1F26"/>
        <rFont val="Noto Sans CJK SC"/>
        <family val="2"/>
      </rPr>
      <t xml:space="preserve">）</t>
    </r>
  </si>
  <si>
    <t xml:space="preserve">任務總數</t>
  </si>
  <si>
    <t xml:space="preserve">估算總量</t>
  </si>
  <si>
    <t xml:space="preserve">工作表導覽</t>
  </si>
  <si>
    <t xml:space="preserve">WBS</t>
  </si>
  <si>
    <t xml:space="preserve">主工作表：任務分解、角色、人日估算、依賴、計畫起訖、狀態、驗收條件</t>
  </si>
  <si>
    <r>
      <rPr>
        <b val="true"/>
        <sz val="10"/>
        <color rgb="FF1A1F26"/>
        <rFont val="Arial"/>
        <family val="0"/>
        <charset val="1"/>
      </rPr>
      <t xml:space="preserve">Sprint </t>
    </r>
    <r>
      <rPr>
        <b val="true"/>
        <sz val="10"/>
        <color rgb="FF1A1F26"/>
        <rFont val="Noto Sans CJK SC"/>
        <family val="2"/>
      </rPr>
      <t xml:space="preserve">摘要</t>
    </r>
  </si>
  <si>
    <r>
      <rPr>
        <sz val="10"/>
        <color rgb="FF1A1F26"/>
        <rFont val="Noto Sans CJK SC"/>
        <family val="2"/>
      </rPr>
      <t xml:space="preserve">每個 </t>
    </r>
    <r>
      <rPr>
        <sz val="10"/>
        <color rgb="FF1A1F26"/>
        <rFont val="Arial"/>
        <family val="0"/>
        <charset val="1"/>
      </rPr>
      <t xml:space="preserve">Sprint </t>
    </r>
    <r>
      <rPr>
        <sz val="10"/>
        <color rgb="FF1A1F26"/>
        <rFont val="Noto Sans CJK SC"/>
        <family val="2"/>
      </rPr>
      <t xml:space="preserve">的工作量、任務數、日程與主題（全部為公式，隨 </t>
    </r>
    <r>
      <rPr>
        <sz val="10"/>
        <color rgb="FF1A1F26"/>
        <rFont val="Arial"/>
        <family val="0"/>
        <charset val="1"/>
      </rPr>
      <t xml:space="preserve">WBS </t>
    </r>
    <r>
      <rPr>
        <sz val="10"/>
        <color rgb="FF1A1F26"/>
        <rFont val="Noto Sans CJK SC"/>
        <family val="2"/>
      </rPr>
      <t xml:space="preserve">變動）</t>
    </r>
  </si>
  <si>
    <t xml:space="preserve">資源負載</t>
  </si>
  <si>
    <r>
      <rPr>
        <sz val="10"/>
        <color rgb="FF1A1F26"/>
        <rFont val="Noto Sans CJK SC"/>
        <family val="2"/>
      </rPr>
      <t xml:space="preserve">角色 </t>
    </r>
    <r>
      <rPr>
        <sz val="10"/>
        <color rgb="FF1A1F26"/>
        <rFont val="Arial"/>
        <family val="0"/>
        <charset val="1"/>
      </rPr>
      <t xml:space="preserve">× Sprint </t>
    </r>
    <r>
      <rPr>
        <sz val="10"/>
        <color rgb="FF1A1F26"/>
        <rFont val="Noto Sans CJK SC"/>
        <family val="2"/>
      </rPr>
      <t xml:space="preserve">的人日矩陣，附產能比對與負載率</t>
    </r>
  </si>
  <si>
    <t xml:space="preserve">里程碑</t>
  </si>
  <si>
    <r>
      <rPr>
        <sz val="10"/>
        <color rgb="FF1A1F26"/>
        <rFont val="Arial"/>
        <family val="0"/>
        <charset val="1"/>
      </rPr>
      <t xml:space="preserve">8 </t>
    </r>
    <r>
      <rPr>
        <sz val="10"/>
        <color rgb="FF1A1F26"/>
        <rFont val="Noto Sans CJK SC"/>
        <family val="2"/>
      </rPr>
      <t xml:space="preserve">個里程碑與其通過條件（</t>
    </r>
    <r>
      <rPr>
        <sz val="10"/>
        <color rgb="FF1A1F26"/>
        <rFont val="Arial"/>
        <family val="0"/>
        <charset val="1"/>
      </rPr>
      <t xml:space="preserve">Gate Criteria</t>
    </r>
    <r>
      <rPr>
        <sz val="10"/>
        <color rgb="FF1A1F26"/>
        <rFont val="Noto Sans CJK SC"/>
        <family val="2"/>
      </rPr>
      <t xml:space="preserve">）</t>
    </r>
  </si>
  <si>
    <t xml:space="preserve">假設與風險</t>
  </si>
  <si>
    <t xml:space="preserve">估算假設、人力配置、主要風險與應對</t>
  </si>
  <si>
    <t xml:space="preserve">填寫說明</t>
  </si>
  <si>
    <t xml:space="preserve">需要你填的欄位</t>
  </si>
  <si>
    <r>
      <rPr>
        <sz val="10"/>
        <color rgb="FF1A1F26"/>
        <rFont val="Arial"/>
        <family val="0"/>
        <charset val="1"/>
      </rPr>
      <t xml:space="preserve">WBS </t>
    </r>
    <r>
      <rPr>
        <sz val="10"/>
        <color rgb="FF1A1F26"/>
        <rFont val="Noto Sans CJK SC"/>
        <family val="2"/>
      </rPr>
      <t xml:space="preserve">工作表的 </t>
    </r>
    <r>
      <rPr>
        <sz val="10"/>
        <color rgb="FF1A1F26"/>
        <rFont val="Arial"/>
        <family val="0"/>
        <charset val="1"/>
      </rPr>
      <t xml:space="preserve">K </t>
    </r>
    <r>
      <rPr>
        <sz val="10"/>
        <color rgb="FF1A1F26"/>
        <rFont val="Noto Sans CJK SC"/>
        <family val="2"/>
      </rPr>
      <t xml:space="preserve">欄（狀態）與 </t>
    </r>
    <r>
      <rPr>
        <sz val="10"/>
        <color rgb="FF1A1F26"/>
        <rFont val="Arial"/>
        <family val="0"/>
        <charset val="1"/>
      </rPr>
      <t xml:space="preserve">L </t>
    </r>
    <r>
      <rPr>
        <sz val="10"/>
        <color rgb="FF1A1F26"/>
        <rFont val="Noto Sans CJK SC"/>
        <family val="2"/>
      </rPr>
      <t xml:space="preserve">欄（完成 </t>
    </r>
    <r>
      <rPr>
        <sz val="10"/>
        <color rgb="FF1A1F26"/>
        <rFont val="Arial"/>
        <family val="0"/>
        <charset val="1"/>
      </rPr>
      <t xml:space="preserve">%</t>
    </r>
    <r>
      <rPr>
        <sz val="10"/>
        <color rgb="FF1A1F26"/>
        <rFont val="Noto Sans CJK SC"/>
        <family val="2"/>
      </rPr>
      <t xml:space="preserve">）；黃色底色即為輸入格</t>
    </r>
  </si>
  <si>
    <t xml:space="preserve">狀態可選值</t>
  </si>
  <si>
    <r>
      <rPr>
        <sz val="10"/>
        <color rgb="FF1A1F26"/>
        <rFont val="Noto Sans CJK SC"/>
        <family val="2"/>
      </rPr>
      <t xml:space="preserve">未開始 </t>
    </r>
    <r>
      <rPr>
        <sz val="10"/>
        <color rgb="FF1A1F26"/>
        <rFont val="Arial"/>
        <family val="0"/>
        <charset val="1"/>
      </rPr>
      <t xml:space="preserve">/ </t>
    </r>
    <r>
      <rPr>
        <sz val="10"/>
        <color rgb="FF1A1F26"/>
        <rFont val="Noto Sans CJK SC"/>
        <family val="2"/>
      </rPr>
      <t xml:space="preserve">進行中 </t>
    </r>
    <r>
      <rPr>
        <sz val="10"/>
        <color rgb="FF1A1F26"/>
        <rFont val="Arial"/>
        <family val="0"/>
        <charset val="1"/>
      </rPr>
      <t xml:space="preserve">/ </t>
    </r>
    <r>
      <rPr>
        <sz val="10"/>
        <color rgb="FF1A1F26"/>
        <rFont val="Noto Sans CJK SC"/>
        <family val="2"/>
      </rPr>
      <t xml:space="preserve">已完成 </t>
    </r>
    <r>
      <rPr>
        <sz val="10"/>
        <color rgb="FF1A1F26"/>
        <rFont val="Arial"/>
        <family val="0"/>
        <charset val="1"/>
      </rPr>
      <t xml:space="preserve">/ </t>
    </r>
    <r>
      <rPr>
        <sz val="10"/>
        <color rgb="FF1A1F26"/>
        <rFont val="Noto Sans CJK SC"/>
        <family val="2"/>
      </rPr>
      <t xml:space="preserve">阻塞 </t>
    </r>
    <r>
      <rPr>
        <sz val="10"/>
        <color rgb="FF1A1F26"/>
        <rFont val="Arial"/>
        <family val="0"/>
        <charset val="1"/>
      </rPr>
      <t xml:space="preserve">/ </t>
    </r>
    <r>
      <rPr>
        <sz val="10"/>
        <color rgb="FF1A1F26"/>
        <rFont val="Noto Sans CJK SC"/>
        <family val="2"/>
      </rPr>
      <t xml:space="preserve">已取消（已設下拉選單）</t>
    </r>
  </si>
  <si>
    <r>
      <rPr>
        <b val="true"/>
        <sz val="10"/>
        <color rgb="FF1A1F26"/>
        <rFont val="Noto Sans CJK SC"/>
        <family val="2"/>
      </rPr>
      <t xml:space="preserve">完成 </t>
    </r>
    <r>
      <rPr>
        <b val="true"/>
        <sz val="10"/>
        <color rgb="FF1A1F26"/>
        <rFont val="Arial"/>
        <family val="0"/>
        <charset val="1"/>
      </rPr>
      <t xml:space="preserve">% </t>
    </r>
    <r>
      <rPr>
        <b val="true"/>
        <sz val="10"/>
        <color rgb="FF1A1F26"/>
        <rFont val="Noto Sans CJK SC"/>
        <family val="2"/>
      </rPr>
      <t xml:space="preserve">格式</t>
    </r>
  </si>
  <si>
    <r>
      <rPr>
        <sz val="10"/>
        <color rgb="FF1A1F26"/>
        <rFont val="Noto Sans CJK SC"/>
        <family val="2"/>
      </rPr>
      <t xml:space="preserve">請輸入 </t>
    </r>
    <r>
      <rPr>
        <sz val="10"/>
        <color rgb="FF1A1F26"/>
        <rFont val="Arial"/>
        <family val="0"/>
        <charset val="1"/>
      </rPr>
      <t xml:space="preserve">0</t>
    </r>
    <r>
      <rPr>
        <sz val="10"/>
        <color rgb="FF1A1F26"/>
        <rFont val="Noto Sans CJK SC"/>
        <family val="2"/>
      </rPr>
      <t xml:space="preserve">～</t>
    </r>
    <r>
      <rPr>
        <sz val="10"/>
        <color rgb="FF1A1F26"/>
        <rFont val="Arial"/>
        <family val="0"/>
        <charset val="1"/>
      </rPr>
      <t xml:space="preserve">1 </t>
    </r>
    <r>
      <rPr>
        <sz val="10"/>
        <color rgb="FF1A1F26"/>
        <rFont val="Noto Sans CJK SC"/>
        <family val="2"/>
      </rPr>
      <t xml:space="preserve">的小數（例如 </t>
    </r>
    <r>
      <rPr>
        <sz val="10"/>
        <color rgb="FF1A1F26"/>
        <rFont val="Arial"/>
        <family val="0"/>
        <charset val="1"/>
      </rPr>
      <t xml:space="preserve">0.3 </t>
    </r>
    <r>
      <rPr>
        <sz val="10"/>
        <color rgb="FF1A1F26"/>
        <rFont val="Noto Sans CJK SC"/>
        <family val="2"/>
      </rPr>
      <t xml:space="preserve">顯示為 </t>
    </r>
    <r>
      <rPr>
        <sz val="10"/>
        <color rgb="FF1A1F26"/>
        <rFont val="Arial"/>
        <family val="0"/>
        <charset val="1"/>
      </rPr>
      <t xml:space="preserve">30%</t>
    </r>
    <r>
      <rPr>
        <sz val="10"/>
        <color rgb="FF1A1F26"/>
        <rFont val="Noto Sans CJK SC"/>
        <family val="2"/>
      </rPr>
      <t xml:space="preserve">），不要輸入 </t>
    </r>
    <r>
      <rPr>
        <sz val="10"/>
        <color rgb="FF1A1F26"/>
        <rFont val="Arial"/>
        <family val="0"/>
        <charset val="1"/>
      </rPr>
      <t xml:space="preserve">30</t>
    </r>
  </si>
  <si>
    <r>
      <rPr>
        <b val="true"/>
        <sz val="10"/>
        <color rgb="FF1A1F26"/>
        <rFont val="Noto Sans CJK SC"/>
        <family val="2"/>
      </rPr>
      <t xml:space="preserve">估算欄（</t>
    </r>
    <r>
      <rPr>
        <b val="true"/>
        <sz val="10"/>
        <color rgb="FF1A1F26"/>
        <rFont val="Arial"/>
        <family val="0"/>
        <charset val="1"/>
      </rPr>
      <t xml:space="preserve">G </t>
    </r>
    <r>
      <rPr>
        <b val="true"/>
        <sz val="10"/>
        <color rgb="FF1A1F26"/>
        <rFont val="Noto Sans CJK SC"/>
        <family val="2"/>
      </rPr>
      <t xml:space="preserve">欄）</t>
    </r>
  </si>
  <si>
    <t xml:space="preserve">藍色字為可調整的估算輸入值；改動後所有摘要與負載會自動重算</t>
  </si>
  <si>
    <r>
      <rPr>
        <b val="true"/>
        <sz val="10"/>
        <color rgb="FF1A1F26"/>
        <rFont val="Noto Sans CJK SC"/>
        <family val="2"/>
      </rPr>
      <t xml:space="preserve">日期欄（</t>
    </r>
    <r>
      <rPr>
        <b val="true"/>
        <sz val="10"/>
        <color rgb="FF1A1F26"/>
        <rFont val="Arial"/>
        <family val="0"/>
        <charset val="1"/>
      </rPr>
      <t xml:space="preserve">I</t>
    </r>
    <r>
      <rPr>
        <b val="true"/>
        <sz val="10"/>
        <color rgb="FF1A1F26"/>
        <rFont val="Noto Sans CJK SC"/>
        <family val="2"/>
      </rPr>
      <t xml:space="preserve">、</t>
    </r>
    <r>
      <rPr>
        <b val="true"/>
        <sz val="10"/>
        <color rgb="FF1A1F26"/>
        <rFont val="Arial"/>
        <family val="0"/>
        <charset val="1"/>
      </rPr>
      <t xml:space="preserve">J </t>
    </r>
    <r>
      <rPr>
        <b val="true"/>
        <sz val="10"/>
        <color rgb="FF1A1F26"/>
        <rFont val="Noto Sans CJK SC"/>
        <family val="2"/>
      </rPr>
      <t xml:space="preserve">欄）</t>
    </r>
  </si>
  <si>
    <r>
      <rPr>
        <sz val="10"/>
        <color rgb="FF1A1F26"/>
        <rFont val="Noto Sans CJK SC"/>
        <family val="2"/>
      </rPr>
      <t xml:space="preserve">由 </t>
    </r>
    <r>
      <rPr>
        <sz val="10"/>
        <color rgb="FF1A1F26"/>
        <rFont val="Arial"/>
        <family val="0"/>
        <charset val="1"/>
      </rPr>
      <t xml:space="preserve">Sprint </t>
    </r>
    <r>
      <rPr>
        <sz val="10"/>
        <color rgb="FF1A1F26"/>
        <rFont val="Noto Sans CJK SC"/>
        <family val="2"/>
      </rPr>
      <t xml:space="preserve">起訖日帶入，屬計畫值；實際排程請於專案管理工具追蹤</t>
    </r>
  </si>
  <si>
    <t xml:space="preserve">範例列（示意格式，非實際任務）</t>
  </si>
  <si>
    <t xml:space="preserve">Sprint</t>
  </si>
  <si>
    <t xml:space="preserve">模組</t>
  </si>
  <si>
    <t xml:space="preserve">任務</t>
  </si>
  <si>
    <t xml:space="preserve">主要角色</t>
  </si>
  <si>
    <t xml:space="preserve">人日</t>
  </si>
  <si>
    <t xml:space="preserve">狀態</t>
  </si>
  <si>
    <r>
      <rPr>
        <b val="true"/>
        <sz val="9"/>
        <color rgb="FFFFFFFF"/>
        <rFont val="Noto Sans CJK SC"/>
        <family val="2"/>
      </rPr>
      <t xml:space="preserve">完成 </t>
    </r>
    <r>
      <rPr>
        <b val="true"/>
        <sz val="9"/>
        <color rgb="FFFFFFFF"/>
        <rFont val="Arial"/>
        <family val="0"/>
        <charset val="1"/>
      </rPr>
      <t xml:space="preserve">%</t>
    </r>
  </si>
  <si>
    <t xml:space="preserve">5.2</t>
  </si>
  <si>
    <t xml:space="preserve">S4</t>
  </si>
  <si>
    <t xml:space="preserve">工單</t>
  </si>
  <si>
    <t xml:space="preserve">狀態機服務層</t>
  </si>
  <si>
    <t xml:space="preserve">Tech Lead</t>
  </si>
  <si>
    <t xml:space="preserve">進行中</t>
  </si>
  <si>
    <t xml:space="preserve">色彩圖例</t>
  </si>
  <si>
    <t xml:space="preserve">輸入格（請填寫）</t>
  </si>
  <si>
    <t xml:space="preserve">估算輸入值（可調整）</t>
  </si>
  <si>
    <t xml:space="preserve">公式計算結果</t>
  </si>
  <si>
    <t xml:space="preserve">跨表引用</t>
  </si>
  <si>
    <t xml:space="preserve">階段主題</t>
  </si>
  <si>
    <t xml:space="preserve">任務名稱</t>
  </si>
  <si>
    <t xml:space="preserve">交付物／說明</t>
  </si>
  <si>
    <r>
      <rPr>
        <b val="true"/>
        <sz val="10"/>
        <color rgb="FFFFFFFF"/>
        <rFont val="Noto Sans CJK SC"/>
        <family val="2"/>
      </rPr>
      <t xml:space="preserve">估算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人日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</si>
  <si>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依賴 </t>
    </r>
    <r>
      <rPr>
        <b val="true"/>
        <sz val="10"/>
        <color rgb="FFFFFFFF"/>
        <rFont val="Arial"/>
        <family val="0"/>
        <charset val="1"/>
      </rPr>
      <t xml:space="preserve">WBS</t>
    </r>
  </si>
  <si>
    <t xml:space="preserve">計畫開始</t>
  </si>
  <si>
    <t xml:space="preserve">計畫結束</t>
  </si>
  <si>
    <r>
      <rPr>
        <b val="true"/>
        <sz val="10"/>
        <color rgb="FFFFFFFF"/>
        <rFont val="Noto Sans CJK SC"/>
        <family val="2"/>
      </rPr>
      <t xml:space="preserve">完成 </t>
    </r>
    <r>
      <rPr>
        <b val="true"/>
        <sz val="10"/>
        <color rgb="FFFFFFFF"/>
        <rFont val="Arial"/>
        <family val="0"/>
        <charset val="1"/>
      </rPr>
      <t xml:space="preserve">%</t>
    </r>
  </si>
  <si>
    <r>
      <rPr>
        <b val="true"/>
        <sz val="10"/>
        <color rgb="FFFFFFFF"/>
        <rFont val="Noto Sans CJK SC"/>
        <family val="2"/>
      </rPr>
      <t xml:space="preserve">加權完成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人日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</si>
  <si>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驗收條件</t>
  </si>
  <si>
    <t xml:space="preserve">1.1</t>
  </si>
  <si>
    <t xml:space="preserve">S0</t>
  </si>
  <si>
    <t xml:space="preserve">環境與基礎建設</t>
  </si>
  <si>
    <t xml:space="preserve">基礎建設</t>
  </si>
  <si>
    <r>
      <rPr>
        <sz val="9"/>
        <color rgb="FF1A1F26"/>
        <rFont val="Noto Sans CJK SC"/>
        <family val="2"/>
      </rPr>
      <t xml:space="preserve">建立 </t>
    </r>
    <r>
      <rPr>
        <sz val="9"/>
        <color rgb="FF1A1F26"/>
        <rFont val="Arial"/>
        <family val="0"/>
        <charset val="1"/>
      </rPr>
      <t xml:space="preserve">Git repo </t>
    </r>
    <r>
      <rPr>
        <sz val="9"/>
        <color rgb="FF1A1F26"/>
        <rFont val="Noto Sans CJK SC"/>
        <family val="2"/>
      </rPr>
      <t xml:space="preserve">與分支策略</t>
    </r>
  </si>
  <si>
    <r>
      <rPr>
        <sz val="9"/>
        <color rgb="FF1A1F26"/>
        <rFont val="Arial"/>
        <family val="0"/>
        <charset val="1"/>
      </rPr>
      <t xml:space="preserve">trunk-based + PR </t>
    </r>
    <r>
      <rPr>
        <sz val="9"/>
        <color rgb="FF1A1F26"/>
        <rFont val="Noto Sans CJK SC"/>
        <family val="2"/>
      </rPr>
      <t xml:space="preserve">檢查；</t>
    </r>
    <r>
      <rPr>
        <sz val="9"/>
        <color rgb="FF1A1F26"/>
        <rFont val="Arial"/>
        <family val="0"/>
        <charset val="1"/>
      </rPr>
      <t xml:space="preserve">CODEOWNERS </t>
    </r>
    <r>
      <rPr>
        <sz val="9"/>
        <color rgb="FF1A1F26"/>
        <rFont val="Noto Sans CJK SC"/>
        <family val="2"/>
      </rPr>
      <t xml:space="preserve">依模組劃分</t>
    </r>
  </si>
  <si>
    <t xml:space="preserve">DevOps</t>
  </si>
  <si>
    <t xml:space="preserve">未開始</t>
  </si>
  <si>
    <r>
      <rPr>
        <sz val="9"/>
        <color rgb="FF1A1F26"/>
        <rFont val="Arial"/>
        <family val="0"/>
        <charset val="1"/>
      </rPr>
      <t xml:space="preserve">PR </t>
    </r>
    <r>
      <rPr>
        <sz val="9"/>
        <color rgb="FF1A1F26"/>
        <rFont val="Noto Sans CJK SC"/>
        <family val="2"/>
      </rPr>
      <t xml:space="preserve">未過 </t>
    </r>
    <r>
      <rPr>
        <sz val="9"/>
        <color rgb="FF1A1F26"/>
        <rFont val="Arial"/>
        <family val="0"/>
        <charset val="1"/>
      </rPr>
      <t xml:space="preserve">CI </t>
    </r>
    <r>
      <rPr>
        <sz val="9"/>
        <color rgb="FF1A1F26"/>
        <rFont val="Noto Sans CJK SC"/>
        <family val="2"/>
      </rPr>
      <t xml:space="preserve">無法合併</t>
    </r>
  </si>
  <si>
    <t xml:space="preserve">1.2</t>
  </si>
  <si>
    <r>
      <rPr>
        <sz val="9"/>
        <color rgb="FF1A1F26"/>
        <rFont val="Noto Sans CJK SC"/>
        <family val="2"/>
      </rPr>
      <t xml:space="preserve">建立 </t>
    </r>
    <r>
      <rPr>
        <sz val="9"/>
        <color rgb="FF1A1F26"/>
        <rFont val="Arial"/>
        <family val="0"/>
        <charset val="1"/>
      </rPr>
      <t xml:space="preserve">CI </t>
    </r>
    <r>
      <rPr>
        <sz val="9"/>
        <color rgb="FF1A1F26"/>
        <rFont val="Noto Sans CJK SC"/>
        <family val="2"/>
      </rPr>
      <t xml:space="preserve">流程</t>
    </r>
  </si>
  <si>
    <r>
      <rPr>
        <sz val="9"/>
        <color rgb="FF1A1F26"/>
        <rFont val="Arial"/>
        <family val="0"/>
        <charset val="1"/>
      </rPr>
      <t xml:space="preserve">lint</t>
    </r>
    <r>
      <rPr>
        <sz val="9"/>
        <color rgb="FF1A1F26"/>
        <rFont val="Noto Sans CJK SC"/>
        <family val="2"/>
      </rPr>
      <t xml:space="preserve">（</t>
    </r>
    <r>
      <rPr>
        <sz val="9"/>
        <color rgb="FF1A1F26"/>
        <rFont val="Arial"/>
        <family val="0"/>
        <charset val="1"/>
      </rPr>
      <t xml:space="preserve">ruff</t>
    </r>
    <r>
      <rPr>
        <sz val="9"/>
        <color rgb="FF1A1F26"/>
        <rFont val="Noto Sans CJK SC"/>
        <family val="2"/>
      </rPr>
      <t xml:space="preserve">）、型別（</t>
    </r>
    <r>
      <rPr>
        <sz val="9"/>
        <color rgb="FF1A1F26"/>
        <rFont val="Arial"/>
        <family val="0"/>
        <charset val="1"/>
      </rPr>
      <t xml:space="preserve">mypy</t>
    </r>
    <r>
      <rPr>
        <sz val="9"/>
        <color rgb="FF1A1F26"/>
        <rFont val="Noto Sans CJK SC"/>
        <family val="2"/>
      </rPr>
      <t xml:space="preserve">）、</t>
    </r>
    <r>
      <rPr>
        <sz val="9"/>
        <color rgb="FF1A1F26"/>
        <rFont val="Arial"/>
        <family val="0"/>
        <charset val="1"/>
      </rPr>
      <t xml:space="preserve">pytest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SQL parser </t>
    </r>
    <r>
      <rPr>
        <sz val="9"/>
        <color rgb="FF1A1F26"/>
        <rFont val="Noto Sans CJK SC"/>
        <family val="2"/>
      </rPr>
      <t xml:space="preserve">驗證、</t>
    </r>
    <r>
      <rPr>
        <sz val="9"/>
        <color rgb="FF1A1F26"/>
        <rFont val="Arial"/>
        <family val="0"/>
        <charset val="1"/>
      </rPr>
      <t xml:space="preserve">import-linter </t>
    </r>
    <r>
      <rPr>
        <sz val="9"/>
        <color rgb="FF1A1F26"/>
        <rFont val="Noto Sans CJK SC"/>
        <family val="2"/>
      </rPr>
      <t xml:space="preserve">模組邊界檢查</t>
    </r>
  </si>
  <si>
    <t xml:space="preserve">任一檢查失敗即阻擋合併</t>
  </si>
  <si>
    <t xml:space="preserve">1.3</t>
  </si>
  <si>
    <r>
      <rPr>
        <sz val="9"/>
        <color rgb="FF1A1F26"/>
        <rFont val="Noto Sans CJK SC"/>
        <family val="2"/>
      </rPr>
      <t xml:space="preserve">建立自建 </t>
    </r>
    <r>
      <rPr>
        <sz val="9"/>
        <color rgb="FF1A1F26"/>
        <rFont val="Arial"/>
        <family val="0"/>
        <charset val="1"/>
      </rPr>
      <t xml:space="preserve">PostgreSQL </t>
    </r>
    <r>
      <rPr>
        <sz val="9"/>
        <color rgb="FF1A1F26"/>
        <rFont val="Noto Sans CJK SC"/>
        <family val="2"/>
      </rPr>
      <t xml:space="preserve">環境（</t>
    </r>
    <r>
      <rPr>
        <sz val="9"/>
        <color rgb="FF1A1F26"/>
        <rFont val="Arial"/>
        <family val="0"/>
        <charset val="1"/>
      </rPr>
      <t xml:space="preserve">Docker</t>
    </r>
    <r>
      <rPr>
        <sz val="9"/>
        <color rgb="FF1A1F26"/>
        <rFont val="Noto Sans CJK SC"/>
        <family val="2"/>
      </rPr>
      <t xml:space="preserve">）</t>
    </r>
  </si>
  <si>
    <r>
      <rPr>
        <sz val="9"/>
        <color rgb="FF1A1F26"/>
        <rFont val="Arial"/>
        <family val="0"/>
        <charset val="1"/>
      </rPr>
      <t xml:space="preserve">docker-compose</t>
    </r>
    <r>
      <rPr>
        <sz val="9"/>
        <color rgb="FF1A1F26"/>
        <rFont val="Noto Sans CJK SC"/>
        <family val="2"/>
      </rPr>
      <t xml:space="preserve">：</t>
    </r>
    <r>
      <rPr>
        <sz val="9"/>
        <color rgb="FF1A1F26"/>
        <rFont val="Arial"/>
        <family val="0"/>
        <charset val="1"/>
      </rPr>
      <t xml:space="preserve">PG16</t>
    </r>
    <r>
      <rPr>
        <sz val="9"/>
        <color rgb="FF1A1F26"/>
        <rFont val="Noto Sans CJK SC"/>
        <family val="2"/>
      </rPr>
      <t xml:space="preserve">＋</t>
    </r>
    <r>
      <rPr>
        <sz val="9"/>
        <color rgb="FF1A1F26"/>
        <rFont val="Arial"/>
        <family val="0"/>
        <charset val="1"/>
      </rPr>
      <t xml:space="preserve">Redis</t>
    </r>
    <r>
      <rPr>
        <sz val="9"/>
        <color rgb="FF1A1F26"/>
        <rFont val="Noto Sans CJK SC"/>
        <family val="2"/>
      </rPr>
      <t xml:space="preserve">＋</t>
    </r>
    <r>
      <rPr>
        <sz val="9"/>
        <color rgb="FF1A1F26"/>
        <rFont val="Arial"/>
        <family val="0"/>
        <charset val="1"/>
      </rPr>
      <t xml:space="preserve">MinIO</t>
    </r>
    <r>
      <rPr>
        <sz val="9"/>
        <color rgb="FF1A1F26"/>
        <rFont val="Noto Sans CJK SC"/>
        <family val="2"/>
      </rPr>
      <t xml:space="preserve">＋</t>
    </r>
    <r>
      <rPr>
        <sz val="9"/>
        <color rgb="FF1A1F26"/>
        <rFont val="Arial"/>
        <family val="0"/>
        <charset val="1"/>
      </rPr>
      <t xml:space="preserve">Mailpit</t>
    </r>
    <r>
      <rPr>
        <sz val="9"/>
        <color rgb="FF1A1F26"/>
        <rFont val="Noto Sans CJK SC"/>
        <family val="2"/>
      </rPr>
      <t xml:space="preserve">＋</t>
    </r>
    <r>
      <rPr>
        <sz val="9"/>
        <color rgb="FF1A1F26"/>
        <rFont val="Arial"/>
        <family val="0"/>
        <charset val="1"/>
      </rPr>
      <t xml:space="preserve">MQTT</t>
    </r>
    <r>
      <rPr>
        <sz val="9"/>
        <color rgb="FF1A1F26"/>
        <rFont val="Noto Sans CJK SC"/>
        <family val="2"/>
      </rPr>
      <t xml:space="preserve">；三角色分離（</t>
    </r>
    <r>
      <rPr>
        <sz val="9"/>
        <color rgb="FF1A1F26"/>
        <rFont val="Arial"/>
        <family val="0"/>
        <charset val="1"/>
      </rPr>
      <t xml:space="preserve">fms_owner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fms_app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fms_readonly</t>
    </r>
    <r>
      <rPr>
        <sz val="9"/>
        <color rgb="FF1A1F26"/>
        <rFont val="Noto Sans CJK SC"/>
        <family val="2"/>
      </rPr>
      <t xml:space="preserve">）</t>
    </r>
  </si>
  <si>
    <r>
      <rPr>
        <sz val="9"/>
        <color rgb="FF1A1F26"/>
        <rFont val="Arial"/>
        <family val="0"/>
        <charset val="1"/>
      </rPr>
      <t xml:space="preserve">make fresh </t>
    </r>
    <r>
      <rPr>
        <sz val="9"/>
        <color rgb="FF1A1F26"/>
        <rFont val="Noto Sans CJK SC"/>
        <family val="2"/>
      </rPr>
      <t xml:space="preserve">可從零建出可用環境；</t>
    </r>
    <r>
      <rPr>
        <sz val="9"/>
        <color rgb="FF1A1F26"/>
        <rFont val="Arial"/>
        <family val="0"/>
        <charset val="1"/>
      </rPr>
      <t xml:space="preserve">make check-rls </t>
    </r>
    <r>
      <rPr>
        <sz val="9"/>
        <color rgb="FF1A1F26"/>
        <rFont val="Noto Sans CJK SC"/>
        <family val="2"/>
      </rPr>
      <t xml:space="preserve">全綠</t>
    </r>
  </si>
  <si>
    <t xml:space="preserve">1.4</t>
  </si>
  <si>
    <r>
      <rPr>
        <sz val="9"/>
        <color rgb="FF1A1F26"/>
        <rFont val="Arial"/>
        <family val="0"/>
        <charset val="1"/>
      </rPr>
      <t xml:space="preserve">Migration </t>
    </r>
    <r>
      <rPr>
        <sz val="9"/>
        <color rgb="FF1A1F26"/>
        <rFont val="Noto Sans CJK SC"/>
        <family val="2"/>
      </rPr>
      <t xml:space="preserve">執行機制</t>
    </r>
  </si>
  <si>
    <r>
      <rPr>
        <sz val="9"/>
        <color rgb="FF1A1F26"/>
        <rFont val="Arial"/>
        <family val="0"/>
        <charset val="1"/>
      </rPr>
      <t xml:space="preserve">psql ON_ERROR_STOP </t>
    </r>
    <r>
      <rPr>
        <sz val="9"/>
        <color rgb="FF1A1F26"/>
        <rFont val="Noto Sans CJK SC"/>
        <family val="2"/>
      </rPr>
      <t xml:space="preserve">腳本＋版本紀錄表；固定順序（</t>
    </r>
    <r>
      <rPr>
        <sz val="9"/>
        <color rgb="FF1A1F26"/>
        <rFont val="Arial"/>
        <family val="0"/>
        <charset val="1"/>
      </rPr>
      <t xml:space="preserve">005/006 </t>
    </r>
    <r>
      <rPr>
        <sz val="9"/>
        <color rgb="FF1A1F26"/>
        <rFont val="Noto Sans CJK SC"/>
        <family val="2"/>
      </rPr>
      <t xml:space="preserve">補外鍵、</t>
    </r>
    <r>
      <rPr>
        <sz val="9"/>
        <color rgb="FF1A1F26"/>
        <rFont val="Arial"/>
        <family val="0"/>
        <charset val="1"/>
      </rPr>
      <t xml:space="preserve">008 </t>
    </r>
    <r>
      <rPr>
        <sz val="9"/>
        <color rgb="FF1A1F26"/>
        <rFont val="Noto Sans CJK SC"/>
        <family val="2"/>
      </rPr>
      <t xml:space="preserve">先於工單、</t>
    </r>
    <r>
      <rPr>
        <sz val="9"/>
        <color rgb="FF1A1F26"/>
        <rFont val="Arial"/>
        <family val="0"/>
        <charset val="1"/>
      </rPr>
      <t xml:space="preserve">013 </t>
    </r>
    <r>
      <rPr>
        <sz val="9"/>
        <color rgb="FF1A1F26"/>
        <rFont val="Noto Sans CJK SC"/>
        <family val="2"/>
      </rPr>
      <t xml:space="preserve">最後）</t>
    </r>
  </si>
  <si>
    <t xml:space="preserve">DBA / Data</t>
  </si>
  <si>
    <r>
      <rPr>
        <sz val="9"/>
        <color rgb="FF1A1F26"/>
        <rFont val="Arial"/>
        <family val="0"/>
        <charset val="1"/>
      </rPr>
      <t xml:space="preserve">dev </t>
    </r>
    <r>
      <rPr>
        <sz val="9"/>
        <color rgb="FF1A1F26"/>
        <rFont val="Noto Sans CJK SC"/>
        <family val="2"/>
      </rPr>
      <t xml:space="preserve">可一鍵重建全庫且順序不可誤用</t>
    </r>
  </si>
  <si>
    <t xml:space="preserve">1.5</t>
  </si>
  <si>
    <r>
      <rPr>
        <sz val="9"/>
        <color rgb="FF1A1F26"/>
        <rFont val="Noto Sans CJK SC"/>
        <family val="2"/>
      </rPr>
      <t xml:space="preserve">開發環境文件與 </t>
    </r>
    <r>
      <rPr>
        <sz val="9"/>
        <color rgb="FF1A1F26"/>
        <rFont val="Arial"/>
        <family val="0"/>
        <charset val="1"/>
      </rPr>
      <t xml:space="preserve">CI </t>
    </r>
    <r>
      <rPr>
        <sz val="9"/>
        <color rgb="FF1A1F26"/>
        <rFont val="Noto Sans CJK SC"/>
        <family val="2"/>
      </rPr>
      <t xml:space="preserve">整合</t>
    </r>
  </si>
  <si>
    <r>
      <rPr>
        <sz val="9"/>
        <color rgb="FF1A1F26"/>
        <rFont val="Arial"/>
        <family val="0"/>
        <charset val="1"/>
      </rPr>
      <t xml:space="preserve">README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Makefile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migrate/smoke-test </t>
    </r>
    <r>
      <rPr>
        <sz val="9"/>
        <color rgb="FF1A1F26"/>
        <rFont val="Noto Sans CJK SC"/>
        <family val="2"/>
      </rPr>
      <t xml:space="preserve">腳本；</t>
    </r>
    <r>
      <rPr>
        <sz val="9"/>
        <color rgb="FF1A1F26"/>
        <rFont val="Arial"/>
        <family val="0"/>
        <charset val="1"/>
      </rPr>
      <t xml:space="preserve">CI </t>
    </r>
    <r>
      <rPr>
        <sz val="9"/>
        <color rgb="FF1A1F26"/>
        <rFont val="Noto Sans CJK SC"/>
        <family val="2"/>
      </rPr>
      <t xml:space="preserve">以同一批腳本執行</t>
    </r>
  </si>
  <si>
    <r>
      <rPr>
        <sz val="9"/>
        <color rgb="FF1A1F26"/>
        <rFont val="Arial"/>
        <family val="0"/>
        <charset val="1"/>
      </rPr>
      <t xml:space="preserve">CI </t>
    </r>
    <r>
      <rPr>
        <sz val="9"/>
        <color rgb="FF1A1F26"/>
        <rFont val="Noto Sans CJK SC"/>
        <family val="2"/>
      </rPr>
      <t xml:space="preserve">與本機使用同一組腳本，行為一致</t>
    </r>
  </si>
  <si>
    <t xml:space="preserve">1.6</t>
  </si>
  <si>
    <r>
      <rPr>
        <sz val="9"/>
        <color rgb="FF1A1F26"/>
        <rFont val="Arial"/>
        <family val="0"/>
        <charset val="1"/>
      </rPr>
      <t xml:space="preserve">FastAPI </t>
    </r>
    <r>
      <rPr>
        <sz val="9"/>
        <color rgb="FF1A1F26"/>
        <rFont val="Noto Sans CJK SC"/>
        <family val="2"/>
      </rPr>
      <t xml:space="preserve">專案骨架與模組目錄</t>
    </r>
  </si>
  <si>
    <r>
      <rPr>
        <sz val="9"/>
        <color rgb="FF1A1F26"/>
        <rFont val="Arial"/>
        <family val="0"/>
        <charset val="1"/>
      </rPr>
      <t xml:space="preserve">10 </t>
    </r>
    <r>
      <rPr>
        <sz val="9"/>
        <color rgb="FF1A1F26"/>
        <rFont val="Noto Sans CJK SC"/>
        <family val="2"/>
      </rPr>
      <t xml:space="preserve">個模組目錄、</t>
    </r>
    <r>
      <rPr>
        <sz val="9"/>
        <color rgb="FF1A1F26"/>
        <rFont val="Arial"/>
        <family val="0"/>
        <charset val="1"/>
      </rPr>
      <t xml:space="preserve">settings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DI </t>
    </r>
    <r>
      <rPr>
        <sz val="9"/>
        <color rgb="FF1A1F26"/>
        <rFont val="Noto Sans CJK SC"/>
        <family val="2"/>
      </rPr>
      <t xml:space="preserve">容器、統一 </t>
    </r>
    <r>
      <rPr>
        <sz val="9"/>
        <color rgb="FF1A1F26"/>
        <rFont val="Arial"/>
        <family val="0"/>
        <charset val="1"/>
      </rPr>
      <t xml:space="preserve">Problem Details </t>
    </r>
    <r>
      <rPr>
        <sz val="9"/>
        <color rgb="FF1A1F26"/>
        <rFont val="Noto Sans CJK SC"/>
        <family val="2"/>
      </rPr>
      <t xml:space="preserve">例外處理</t>
    </r>
  </si>
  <si>
    <r>
      <rPr>
        <sz val="9"/>
        <color rgb="FF1A1F26"/>
        <rFont val="Noto Sans CJK SC"/>
        <family val="2"/>
      </rPr>
      <t xml:space="preserve">跨模組直接匯入會被 </t>
    </r>
    <r>
      <rPr>
        <sz val="9"/>
        <color rgb="FF1A1F26"/>
        <rFont val="Arial"/>
        <family val="0"/>
        <charset val="1"/>
      </rPr>
      <t xml:space="preserve">import-linter </t>
    </r>
    <r>
      <rPr>
        <sz val="9"/>
        <color rgb="FF1A1F26"/>
        <rFont val="Noto Sans CJK SC"/>
        <family val="2"/>
      </rPr>
      <t xml:space="preserve">擋下</t>
    </r>
  </si>
  <si>
    <t xml:space="preserve">1.7</t>
  </si>
  <si>
    <t xml:space="preserve">可觀測性基礎</t>
  </si>
  <si>
    <r>
      <rPr>
        <sz val="9"/>
        <color rgb="FF1A1F26"/>
        <rFont val="Arial"/>
        <family val="0"/>
        <charset val="1"/>
      </rPr>
      <t xml:space="preserve">OpenTelemetry trace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metrics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structured log</t>
    </r>
    <r>
      <rPr>
        <sz val="9"/>
        <color rgb="FF1A1F26"/>
        <rFont val="Noto Sans CJK SC"/>
        <family val="2"/>
      </rPr>
      <t xml:space="preserve">，全部帶 </t>
    </r>
    <r>
      <rPr>
        <sz val="9"/>
        <color rgb="FF1A1F26"/>
        <rFont val="Arial"/>
        <family val="0"/>
        <charset val="1"/>
      </rPr>
      <t xml:space="preserve">tenant_id </t>
    </r>
    <r>
      <rPr>
        <sz val="9"/>
        <color rgb="FF1A1F26"/>
        <rFont val="Noto Sans CJK SC"/>
        <family val="2"/>
      </rPr>
      <t xml:space="preserve">標籤</t>
    </r>
  </si>
  <si>
    <r>
      <rPr>
        <sz val="9"/>
        <color rgb="FF1A1F26"/>
        <rFont val="Noto Sans CJK SC"/>
        <family val="2"/>
      </rPr>
      <t xml:space="preserve">任一請求可依 </t>
    </r>
    <r>
      <rPr>
        <sz val="9"/>
        <color rgb="FF1A1F26"/>
        <rFont val="Arial"/>
        <family val="0"/>
        <charset val="1"/>
      </rPr>
      <t xml:space="preserve">request_id </t>
    </r>
    <r>
      <rPr>
        <sz val="9"/>
        <color rgb="FF1A1F26"/>
        <rFont val="Noto Sans CJK SC"/>
        <family val="2"/>
      </rPr>
      <t xml:space="preserve">追出完整 </t>
    </r>
    <r>
      <rPr>
        <sz val="9"/>
        <color rgb="FF1A1F26"/>
        <rFont val="Arial"/>
        <family val="0"/>
        <charset val="1"/>
      </rPr>
      <t xml:space="preserve">span</t>
    </r>
  </si>
  <si>
    <t xml:space="preserve">1.8</t>
  </si>
  <si>
    <t xml:space="preserve">密鑰管理接入</t>
  </si>
  <si>
    <r>
      <rPr>
        <sz val="9"/>
        <color rgb="FF1A1F26"/>
        <rFont val="Arial"/>
        <family val="0"/>
        <charset val="1"/>
      </rPr>
      <t xml:space="preserve">Secret Manager</t>
    </r>
    <r>
      <rPr>
        <sz val="9"/>
        <color rgb="FF1A1F26"/>
        <rFont val="Noto Sans CJK SC"/>
        <family val="2"/>
      </rPr>
      <t xml:space="preserve">；資料庫僅存 </t>
    </r>
    <r>
      <rPr>
        <sz val="9"/>
        <color rgb="FF1A1F26"/>
        <rFont val="Arial"/>
        <family val="0"/>
        <charset val="1"/>
      </rPr>
      <t xml:space="preserve">*_ref </t>
    </r>
    <r>
      <rPr>
        <sz val="9"/>
        <color rgb="FF1A1F26"/>
        <rFont val="Noto Sans CJK SC"/>
        <family val="2"/>
      </rPr>
      <t xml:space="preserve">參照</t>
    </r>
  </si>
  <si>
    <r>
      <rPr>
        <sz val="9"/>
        <color rgb="FF1A1F26"/>
        <rFont val="Arial"/>
        <family val="0"/>
        <charset val="1"/>
      </rPr>
      <t xml:space="preserve">Schema </t>
    </r>
    <r>
      <rPr>
        <sz val="9"/>
        <color rgb="FF1A1F26"/>
        <rFont val="Noto Sans CJK SC"/>
        <family val="2"/>
      </rPr>
      <t xml:space="preserve">檢查無明文密鑰欄位</t>
    </r>
  </si>
  <si>
    <t xml:space="preserve">1.9</t>
  </si>
  <si>
    <t xml:space="preserve">專案管理</t>
  </si>
  <si>
    <r>
      <rPr>
        <sz val="9"/>
        <color rgb="FF1A1F26"/>
        <rFont val="Noto Sans CJK SC"/>
        <family val="2"/>
      </rPr>
      <t xml:space="preserve">規格評審與 </t>
    </r>
    <r>
      <rPr>
        <sz val="9"/>
        <color rgb="FF1A1F26"/>
        <rFont val="Arial"/>
        <family val="0"/>
        <charset val="1"/>
      </rPr>
      <t xml:space="preserve">WBS </t>
    </r>
    <r>
      <rPr>
        <sz val="9"/>
        <color rgb="FF1A1F26"/>
        <rFont val="Noto Sans CJK SC"/>
        <family val="2"/>
      </rPr>
      <t xml:space="preserve">基準確認</t>
    </r>
  </si>
  <si>
    <r>
      <rPr>
        <sz val="9"/>
        <color rgb="FF1A1F26"/>
        <rFont val="Noto Sans CJK SC"/>
        <family val="2"/>
      </rPr>
      <t xml:space="preserve">規格書 </t>
    </r>
    <r>
      <rPr>
        <sz val="9"/>
        <color rgb="FF1A1F26"/>
        <rFont val="Arial"/>
        <family val="0"/>
        <charset val="1"/>
      </rPr>
      <t xml:space="preserve">v1.0 </t>
    </r>
    <r>
      <rPr>
        <sz val="9"/>
        <color rgb="FF1A1F26"/>
        <rFont val="Noto Sans CJK SC"/>
        <family val="2"/>
      </rPr>
      <t xml:space="preserve">評審、估算校準、風險登錄</t>
    </r>
  </si>
  <si>
    <t xml:space="preserve">PM</t>
  </si>
  <si>
    <t xml:space="preserve">評審意見全部結案或轉為工作項</t>
  </si>
  <si>
    <t xml:space="preserve">2.1</t>
  </si>
  <si>
    <t xml:space="preserve">S1</t>
  </si>
  <si>
    <t xml:space="preserve">核心地基與租戶隔離</t>
  </si>
  <si>
    <t xml:space="preserve">核心地基</t>
  </si>
  <si>
    <r>
      <rPr>
        <sz val="9"/>
        <color rgb="FF1A1F26"/>
        <rFont val="Noto Sans CJK SC"/>
        <family val="2"/>
      </rPr>
      <t xml:space="preserve">套用 </t>
    </r>
    <r>
      <rPr>
        <sz val="9"/>
        <color rgb="FF1A1F26"/>
        <rFont val="Arial"/>
        <family val="0"/>
        <charset val="1"/>
      </rPr>
      <t xml:space="preserve">001_foundation </t>
    </r>
    <r>
      <rPr>
        <sz val="9"/>
        <color rgb="FF1A1F26"/>
        <rFont val="Noto Sans CJK SC"/>
        <family val="2"/>
      </rPr>
      <t xml:space="preserve">並驗證</t>
    </r>
  </si>
  <si>
    <r>
      <rPr>
        <sz val="9"/>
        <color rgb="FF1A1F26"/>
        <rFont val="Arial"/>
        <family val="0"/>
        <charset val="1"/>
      </rPr>
      <t xml:space="preserve">extensions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set_context</t>
    </r>
    <r>
      <rPr>
        <sz val="9"/>
        <color rgb="FF1A1F26"/>
        <rFont val="Noto Sans CJK SC"/>
        <family val="2"/>
      </rPr>
      <t xml:space="preserve">、觸發器、</t>
    </r>
    <r>
      <rPr>
        <sz val="9"/>
        <color rgb="FF1A1F26"/>
        <rFont val="Arial"/>
        <family val="0"/>
        <charset val="1"/>
      </rPr>
      <t xml:space="preserve">tenants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organizations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facilities</t>
    </r>
  </si>
  <si>
    <t xml:space="preserve">乾淨庫執行零錯誤</t>
  </si>
  <si>
    <t xml:space="preserve">2.2</t>
  </si>
  <si>
    <r>
      <rPr>
        <sz val="9"/>
        <color rgb="FF1A1F26"/>
        <rFont val="Arial"/>
        <family val="0"/>
        <charset val="1"/>
      </rPr>
      <t xml:space="preserve">RLS </t>
    </r>
    <r>
      <rPr>
        <sz val="9"/>
        <color rgb="FF1A1F26"/>
        <rFont val="Noto Sans CJK SC"/>
        <family val="2"/>
      </rPr>
      <t xml:space="preserve">中介層（連線層強制）</t>
    </r>
  </si>
  <si>
    <r>
      <rPr>
        <sz val="9"/>
        <color rgb="FF1A1F26"/>
        <rFont val="Noto Sans CJK SC"/>
        <family val="2"/>
      </rPr>
      <t xml:space="preserve">連線取得後即執行 </t>
    </r>
    <r>
      <rPr>
        <sz val="9"/>
        <color rgb="FF1A1F26"/>
        <rFont val="Arial"/>
        <family val="0"/>
        <charset val="1"/>
      </rPr>
      <t xml:space="preserve">set_context</t>
    </r>
    <r>
      <rPr>
        <sz val="9"/>
        <color rgb="FF1A1F26"/>
        <rFont val="Noto Sans CJK SC"/>
        <family val="2"/>
      </rPr>
      <t xml:space="preserve">；交易級 </t>
    </r>
    <r>
      <rPr>
        <sz val="9"/>
        <color rgb="FF1A1F26"/>
        <rFont val="Arial"/>
        <family val="0"/>
        <charset val="1"/>
      </rPr>
      <t xml:space="preserve">SET LOCAL</t>
    </r>
  </si>
  <si>
    <t xml:space="preserve">1.6;2.1</t>
  </si>
  <si>
    <r>
      <rPr>
        <sz val="9"/>
        <color rgb="FF1A1F26"/>
        <rFont val="Noto Sans CJK SC"/>
        <family val="2"/>
      </rPr>
      <t xml:space="preserve">未設 </t>
    </r>
    <r>
      <rPr>
        <sz val="9"/>
        <color rgb="FF1A1F26"/>
        <rFont val="Arial"/>
        <family val="0"/>
        <charset val="1"/>
      </rPr>
      <t xml:space="preserve">context </t>
    </r>
    <r>
      <rPr>
        <sz val="9"/>
        <color rgb="FF1A1F26"/>
        <rFont val="Noto Sans CJK SC"/>
        <family val="2"/>
      </rPr>
      <t xml:space="preserve">的查詢回 </t>
    </r>
    <r>
      <rPr>
        <sz val="9"/>
        <color rgb="FF1A1F26"/>
        <rFont val="Arial"/>
        <family val="0"/>
        <charset val="1"/>
      </rPr>
      <t xml:space="preserve">0 </t>
    </r>
    <r>
      <rPr>
        <sz val="9"/>
        <color rgb="FF1A1F26"/>
        <rFont val="Noto Sans CJK SC"/>
        <family val="2"/>
      </rPr>
      <t xml:space="preserve">列（</t>
    </r>
    <r>
      <rPr>
        <sz val="9"/>
        <color rgb="FF1A1F26"/>
        <rFont val="Arial"/>
        <family val="0"/>
        <charset val="1"/>
      </rPr>
      <t xml:space="preserve">CI </t>
    </r>
    <r>
      <rPr>
        <sz val="9"/>
        <color rgb="FF1A1F26"/>
        <rFont val="Noto Sans CJK SC"/>
        <family val="2"/>
      </rPr>
      <t xml:space="preserve">測試）</t>
    </r>
  </si>
  <si>
    <t xml:space="preserve">2.3</t>
  </si>
  <si>
    <r>
      <rPr>
        <sz val="9"/>
        <color rgb="FF1A1F26"/>
        <rFont val="Noto Sans CJK SC"/>
        <family val="2"/>
      </rPr>
      <t xml:space="preserve">套用 </t>
    </r>
    <r>
      <rPr>
        <sz val="9"/>
        <color rgb="FF1A1F26"/>
        <rFont val="Arial"/>
        <family val="0"/>
        <charset val="1"/>
      </rPr>
      <t xml:space="preserve">007_rls_policies </t>
    </r>
    <r>
      <rPr>
        <sz val="9"/>
        <color rgb="FF1A1F26"/>
        <rFont val="Noto Sans CJK SC"/>
        <family val="2"/>
      </rPr>
      <t xml:space="preserve">並驗證</t>
    </r>
  </si>
  <si>
    <r>
      <rPr>
        <sz val="9"/>
        <color rgb="FF1A1F26"/>
        <rFont val="Noto Sans CJK SC"/>
        <family val="2"/>
      </rPr>
      <t xml:space="preserve">全表 </t>
    </r>
    <r>
      <rPr>
        <sz val="9"/>
        <color rgb="FF1A1F26"/>
        <rFont val="Arial"/>
        <family val="0"/>
        <charset val="1"/>
      </rPr>
      <t xml:space="preserve">RLS + FORCE RLS</t>
    </r>
    <r>
      <rPr>
        <sz val="9"/>
        <color rgb="FF1A1F26"/>
        <rFont val="Noto Sans CJK SC"/>
        <family val="2"/>
      </rPr>
      <t xml:space="preserve">；平台目錄雙政策；審計表撤銷 </t>
    </r>
    <r>
      <rPr>
        <sz val="9"/>
        <color rgb="FF1A1F26"/>
        <rFont val="Arial"/>
        <family val="0"/>
        <charset val="1"/>
      </rPr>
      <t xml:space="preserve">UPDATE/DELETE</t>
    </r>
  </si>
  <si>
    <r>
      <rPr>
        <sz val="9"/>
        <color rgb="FF1A1F26"/>
        <rFont val="Arial"/>
        <family val="0"/>
        <charset val="1"/>
      </rPr>
      <t xml:space="preserve">T1 </t>
    </r>
    <r>
      <rPr>
        <sz val="9"/>
        <color rgb="FF1A1F26"/>
        <rFont val="Noto Sans CJK SC"/>
        <family val="2"/>
      </rPr>
      <t xml:space="preserve">租戶隔離斷言通過</t>
    </r>
  </si>
  <si>
    <t xml:space="preserve">2.4</t>
  </si>
  <si>
    <r>
      <rPr>
        <sz val="9"/>
        <color rgb="FF1A1F26"/>
        <rFont val="Noto Sans CJK SC"/>
        <family val="2"/>
      </rPr>
      <t xml:space="preserve">租戶／組織／設施 </t>
    </r>
    <r>
      <rPr>
        <sz val="9"/>
        <color rgb="FF1A1F26"/>
        <rFont val="Arial"/>
        <family val="0"/>
        <charset val="1"/>
      </rPr>
      <t xml:space="preserve">CRUD API</t>
    </r>
  </si>
  <si>
    <r>
      <rPr>
        <sz val="9"/>
        <color rgb="FF1A1F26"/>
        <rFont val="Noto Sans CJK SC"/>
        <family val="2"/>
      </rPr>
      <t xml:space="preserve">含 </t>
    </r>
    <r>
      <rPr>
        <sz val="9"/>
        <color rgb="FF1A1F26"/>
        <rFont val="Arial"/>
        <family val="0"/>
        <charset val="1"/>
      </rPr>
      <t xml:space="preserve">ltree </t>
    </r>
    <r>
      <rPr>
        <sz val="9"/>
        <color rgb="FF1A1F26"/>
        <rFont val="Noto Sans CJK SC"/>
        <family val="2"/>
      </rPr>
      <t xml:space="preserve">子樹查詢（</t>
    </r>
    <r>
      <rPr>
        <sz val="9"/>
        <color rgb="FF1A1F26"/>
        <rFont val="Arial"/>
        <family val="0"/>
        <charset val="1"/>
      </rPr>
      <t xml:space="preserve">subtree_of</t>
    </r>
    <r>
      <rPr>
        <sz val="9"/>
        <color rgb="FF1A1F26"/>
        <rFont val="Noto Sans CJK SC"/>
        <family val="2"/>
      </rPr>
      <t xml:space="preserve">）與父層搬移</t>
    </r>
  </si>
  <si>
    <t xml:space="preserve">Backend A</t>
  </si>
  <si>
    <r>
      <rPr>
        <sz val="9"/>
        <color rgb="FF1A1F26"/>
        <rFont val="Noto Sans CJK SC"/>
        <family val="2"/>
      </rPr>
      <t xml:space="preserve">組織搬移後子樹 </t>
    </r>
    <r>
      <rPr>
        <sz val="9"/>
        <color rgb="FF1A1F26"/>
        <rFont val="Arial"/>
        <family val="0"/>
        <charset val="1"/>
      </rPr>
      <t xml:space="preserve">org_path </t>
    </r>
    <r>
      <rPr>
        <sz val="9"/>
        <color rgb="FF1A1F26"/>
        <rFont val="Noto Sans CJK SC"/>
        <family val="2"/>
      </rPr>
      <t xml:space="preserve">全部正確</t>
    </r>
  </si>
  <si>
    <t xml:space="preserve">2.5</t>
  </si>
  <si>
    <t xml:space="preserve">動態屬性驗證器</t>
  </si>
  <si>
    <r>
      <rPr>
        <sz val="9"/>
        <color rgb="FF1A1F26"/>
        <rFont val="Arial"/>
        <family val="0"/>
        <charset val="1"/>
      </rPr>
      <t xml:space="preserve">attribute_definitions → JSON Schema </t>
    </r>
    <r>
      <rPr>
        <sz val="9"/>
        <color rgb="FF1A1F26"/>
        <rFont val="Noto Sans CJK SC"/>
        <family val="2"/>
      </rPr>
      <t xml:space="preserve">驗證管線</t>
    </r>
  </si>
  <si>
    <t xml:space="preserve">Backend C</t>
  </si>
  <si>
    <r>
      <rPr>
        <sz val="9"/>
        <color rgb="FF1A1F26"/>
        <rFont val="Noto Sans CJK SC"/>
        <family val="2"/>
      </rPr>
      <t xml:space="preserve">違規屬性回 </t>
    </r>
    <r>
      <rPr>
        <sz val="9"/>
        <color rgb="FF1A1F26"/>
        <rFont val="Arial"/>
        <family val="0"/>
        <charset val="1"/>
      </rPr>
      <t xml:space="preserve">422 </t>
    </r>
    <r>
      <rPr>
        <sz val="9"/>
        <color rgb="FF1A1F26"/>
        <rFont val="Noto Sans CJK SC"/>
        <family val="2"/>
      </rPr>
      <t xml:space="preserve">並指出 </t>
    </r>
    <r>
      <rPr>
        <sz val="9"/>
        <color rgb="FF1A1F26"/>
        <rFont val="Arial"/>
        <family val="0"/>
        <charset val="1"/>
      </rPr>
      <t xml:space="preserve">JSON Pointer</t>
    </r>
  </si>
  <si>
    <t xml:space="preserve">2.6</t>
  </si>
  <si>
    <t xml:space="preserve">稽核日誌攔截器</t>
  </si>
  <si>
    <r>
      <rPr>
        <sz val="9"/>
        <color rgb="FF1A1F26"/>
        <rFont val="Noto Sans CJK SC"/>
        <family val="2"/>
      </rPr>
      <t xml:space="preserve">寫入 </t>
    </r>
    <r>
      <rPr>
        <sz val="9"/>
        <color rgb="FF1A1F26"/>
        <rFont val="Arial"/>
        <family val="0"/>
        <charset val="1"/>
      </rPr>
      <t xml:space="preserve">audit_log</t>
    </r>
    <r>
      <rPr>
        <sz val="9"/>
        <color rgb="FF1A1F26"/>
        <rFont val="Noto Sans CJK SC"/>
        <family val="2"/>
      </rPr>
      <t xml:space="preserve">（</t>
    </r>
    <r>
      <rPr>
        <sz val="9"/>
        <color rgb="FF1A1F26"/>
        <rFont val="Arial"/>
        <family val="0"/>
        <charset val="1"/>
      </rPr>
      <t xml:space="preserve">before/after/diff_keys/request_id/ip</t>
    </r>
    <r>
      <rPr>
        <sz val="9"/>
        <color rgb="FF1A1F26"/>
        <rFont val="Noto Sans CJK SC"/>
        <family val="2"/>
      </rPr>
      <t xml:space="preserve">）</t>
    </r>
  </si>
  <si>
    <t xml:space="preserve">Backend D</t>
  </si>
  <si>
    <r>
      <rPr>
        <sz val="9"/>
        <color rgb="FF1A1F26"/>
        <rFont val="Noto Sans CJK SC"/>
        <family val="2"/>
      </rPr>
      <t xml:space="preserve">所有寫入 </t>
    </r>
    <r>
      <rPr>
        <sz val="9"/>
        <color rgb="FF1A1F26"/>
        <rFont val="Arial"/>
        <family val="0"/>
        <charset val="1"/>
      </rPr>
      <t xml:space="preserve">API </t>
    </r>
    <r>
      <rPr>
        <sz val="9"/>
        <color rgb="FF1A1F26"/>
        <rFont val="Noto Sans CJK SC"/>
        <family val="2"/>
      </rPr>
      <t xml:space="preserve">皆產生稽核列</t>
    </r>
  </si>
  <si>
    <t xml:space="preserve">2.7</t>
  </si>
  <si>
    <r>
      <rPr>
        <sz val="9"/>
        <color rgb="FF1A1F26"/>
        <rFont val="Arial"/>
        <family val="0"/>
        <charset val="1"/>
      </rPr>
      <t xml:space="preserve">outbox </t>
    </r>
    <r>
      <rPr>
        <sz val="9"/>
        <color rgb="FF1A1F26"/>
        <rFont val="Noto Sans CJK SC"/>
        <family val="2"/>
      </rPr>
      <t xml:space="preserve">與 </t>
    </r>
    <r>
      <rPr>
        <sz val="9"/>
        <color rgb="FF1A1F26"/>
        <rFont val="Arial"/>
        <family val="0"/>
        <charset val="1"/>
      </rPr>
      <t xml:space="preserve">emit_event </t>
    </r>
    <r>
      <rPr>
        <sz val="9"/>
        <color rgb="FF1A1F26"/>
        <rFont val="Noto Sans CJK SC"/>
        <family val="2"/>
      </rPr>
      <t xml:space="preserve">機制</t>
    </r>
  </si>
  <si>
    <r>
      <rPr>
        <sz val="9"/>
        <color rgb="FF1A1F26"/>
        <rFont val="Arial"/>
        <family val="0"/>
        <charset val="1"/>
      </rPr>
      <t xml:space="preserve">emit_event() + relay worker</t>
    </r>
    <r>
      <rPr>
        <sz val="9"/>
        <color rgb="FF1A1F26"/>
        <rFont val="Noto Sans CJK SC"/>
        <family val="2"/>
      </rPr>
      <t xml:space="preserve">（</t>
    </r>
    <r>
      <rPr>
        <sz val="9"/>
        <color rgb="FF1A1F26"/>
        <rFont val="Arial"/>
        <family val="0"/>
        <charset val="1"/>
      </rPr>
      <t xml:space="preserve">FOR UPDATE SKIP LOCKED</t>
    </r>
    <r>
      <rPr>
        <sz val="9"/>
        <color rgb="FF1A1F26"/>
        <rFont val="Noto Sans CJK SC"/>
        <family val="2"/>
      </rPr>
      <t xml:space="preserve">）</t>
    </r>
    <r>
      <rPr>
        <sz val="9"/>
        <color rgb="FF1A1F26"/>
        <rFont val="Arial"/>
        <family val="0"/>
        <charset val="1"/>
      </rPr>
      <t xml:space="preserve">+ </t>
    </r>
    <r>
      <rPr>
        <sz val="9"/>
        <color rgb="FF1A1F26"/>
        <rFont val="Noto Sans CJK SC"/>
        <family val="2"/>
      </rPr>
      <t xml:space="preserve">指數退避</t>
    </r>
  </si>
  <si>
    <t xml:space="preserve">Backend B</t>
  </si>
  <si>
    <r>
      <rPr>
        <sz val="9"/>
        <color rgb="FF1A1F26"/>
        <rFont val="Noto Sans CJK SC"/>
        <family val="2"/>
      </rPr>
      <t xml:space="preserve">關閉 </t>
    </r>
    <r>
      <rPr>
        <sz val="9"/>
        <color rgb="FF1A1F26"/>
        <rFont val="Arial"/>
        <family val="0"/>
        <charset val="1"/>
      </rPr>
      <t xml:space="preserve">worker </t>
    </r>
    <r>
      <rPr>
        <sz val="9"/>
        <color rgb="FF1A1F26"/>
        <rFont val="Noto Sans CJK SC"/>
        <family val="2"/>
      </rPr>
      <t xml:space="preserve">後事件不遺失，重啟後補送</t>
    </r>
  </si>
  <si>
    <t xml:space="preserve">2.8</t>
  </si>
  <si>
    <t xml:space="preserve">冪等中介層</t>
  </si>
  <si>
    <r>
      <rPr>
        <sz val="9"/>
        <color rgb="FF1A1F26"/>
        <rFont val="Arial"/>
        <family val="0"/>
        <charset val="1"/>
      </rPr>
      <t xml:space="preserve">idempotency_keys</t>
    </r>
    <r>
      <rPr>
        <sz val="9"/>
        <color rgb="FF1A1F26"/>
        <rFont val="Noto Sans CJK SC"/>
        <family val="2"/>
      </rPr>
      <t xml:space="preserve">；同鍵回放、進行中回 </t>
    </r>
    <r>
      <rPr>
        <sz val="9"/>
        <color rgb="FF1A1F26"/>
        <rFont val="Arial"/>
        <family val="0"/>
        <charset val="1"/>
      </rPr>
      <t xml:space="preserve">409</t>
    </r>
    <r>
      <rPr>
        <sz val="9"/>
        <color rgb="FF1A1F26"/>
        <rFont val="Noto Sans CJK SC"/>
        <family val="2"/>
      </rPr>
      <t xml:space="preserve">、不同 </t>
    </r>
    <r>
      <rPr>
        <sz val="9"/>
        <color rgb="FF1A1F26"/>
        <rFont val="Arial"/>
        <family val="0"/>
        <charset val="1"/>
      </rPr>
      <t xml:space="preserve">body </t>
    </r>
    <r>
      <rPr>
        <sz val="9"/>
        <color rgb="FF1A1F26"/>
        <rFont val="Noto Sans CJK SC"/>
        <family val="2"/>
      </rPr>
      <t xml:space="preserve">回 </t>
    </r>
    <r>
      <rPr>
        <sz val="9"/>
        <color rgb="FF1A1F26"/>
        <rFont val="Arial"/>
        <family val="0"/>
        <charset val="1"/>
      </rPr>
      <t xml:space="preserve">422</t>
    </r>
  </si>
  <si>
    <r>
      <rPr>
        <sz val="9"/>
        <color rgb="FF1A1F26"/>
        <rFont val="Noto Sans CJK SC"/>
        <family val="2"/>
      </rPr>
      <t xml:space="preserve">重複 </t>
    </r>
    <r>
      <rPr>
        <sz val="9"/>
        <color rgb="FF1A1F26"/>
        <rFont val="Arial"/>
        <family val="0"/>
        <charset val="1"/>
      </rPr>
      <t xml:space="preserve">POST </t>
    </r>
    <r>
      <rPr>
        <sz val="9"/>
        <color rgb="FF1A1F26"/>
        <rFont val="Noto Sans CJK SC"/>
        <family val="2"/>
      </rPr>
      <t xml:space="preserve">只產生一筆資料</t>
    </r>
  </si>
  <si>
    <t xml:space="preserve">2.9</t>
  </si>
  <si>
    <r>
      <rPr>
        <sz val="9"/>
        <color rgb="FF1A1F26"/>
        <rFont val="Arial"/>
        <family val="0"/>
        <charset val="1"/>
      </rPr>
      <t xml:space="preserve">API </t>
    </r>
    <r>
      <rPr>
        <sz val="9"/>
        <color rgb="FF1A1F26"/>
        <rFont val="Noto Sans CJK SC"/>
        <family val="2"/>
      </rPr>
      <t xml:space="preserve">共用層</t>
    </r>
  </si>
  <si>
    <r>
      <rPr>
        <sz val="9"/>
        <color rgb="FF1A1F26"/>
        <rFont val="Arial"/>
        <family val="0"/>
        <charset val="1"/>
      </rPr>
      <t xml:space="preserve">cursor </t>
    </r>
    <r>
      <rPr>
        <sz val="9"/>
        <color rgb="FF1A1F26"/>
        <rFont val="Noto Sans CJK SC"/>
        <family val="2"/>
      </rPr>
      <t xml:space="preserve">分頁、排序、稀疏欄位、</t>
    </r>
    <r>
      <rPr>
        <sz val="9"/>
        <color rgb="FF1A1F26"/>
        <rFont val="Arial"/>
        <family val="0"/>
        <charset val="1"/>
      </rPr>
      <t xml:space="preserve">include </t>
    </r>
    <r>
      <rPr>
        <sz val="9"/>
        <color rgb="FF1A1F26"/>
        <rFont val="Noto Sans CJK SC"/>
        <family val="2"/>
      </rPr>
      <t xml:space="preserve">白名單、</t>
    </r>
    <r>
      <rPr>
        <sz val="9"/>
        <color rgb="FF1A1F26"/>
        <rFont val="Arial"/>
        <family val="0"/>
        <charset val="1"/>
      </rPr>
      <t xml:space="preserve">ETag/If-Match</t>
    </r>
  </si>
  <si>
    <t xml:space="preserve">任兩個資源的分頁與錯誤格式完全一致</t>
  </si>
  <si>
    <t xml:space="preserve">2.10</t>
  </si>
  <si>
    <t xml:space="preserve">品質</t>
  </si>
  <si>
    <t xml:space="preserve">租戶隔離測試套件</t>
  </si>
  <si>
    <r>
      <rPr>
        <sz val="9"/>
        <color rgb="FF1A1F26"/>
        <rFont val="Noto Sans CJK SC"/>
        <family val="2"/>
      </rPr>
      <t xml:space="preserve">含未設 </t>
    </r>
    <r>
      <rPr>
        <sz val="9"/>
        <color rgb="FF1A1F26"/>
        <rFont val="Arial"/>
        <family val="0"/>
        <charset val="1"/>
      </rPr>
      <t xml:space="preserve">context</t>
    </r>
    <r>
      <rPr>
        <sz val="9"/>
        <color rgb="FF1A1F26"/>
        <rFont val="Noto Sans CJK SC"/>
        <family val="2"/>
      </rPr>
      <t xml:space="preserve">、跨租戶讀寫、平台情境三類案例</t>
    </r>
  </si>
  <si>
    <t xml:space="preserve">QA</t>
  </si>
  <si>
    <r>
      <rPr>
        <sz val="9"/>
        <color rgb="FF1A1F26"/>
        <rFont val="Noto Sans CJK SC"/>
        <family val="2"/>
      </rPr>
      <t xml:space="preserve">納入 </t>
    </r>
    <r>
      <rPr>
        <sz val="9"/>
        <color rgb="FF1A1F26"/>
        <rFont val="Arial"/>
        <family val="0"/>
        <charset val="1"/>
      </rPr>
      <t xml:space="preserve">CI </t>
    </r>
    <r>
      <rPr>
        <sz val="9"/>
        <color rgb="FF1A1F26"/>
        <rFont val="Noto Sans CJK SC"/>
        <family val="2"/>
      </rPr>
      <t xml:space="preserve">每次執行</t>
    </r>
  </si>
  <si>
    <t xml:space="preserve">3.1</t>
  </si>
  <si>
    <t xml:space="preserve">S2</t>
  </si>
  <si>
    <r>
      <rPr>
        <sz val="9"/>
        <color rgb="FF1A1F26"/>
        <rFont val="Noto Sans CJK SC"/>
        <family val="2"/>
      </rPr>
      <t xml:space="preserve">身分整合與 </t>
    </r>
    <r>
      <rPr>
        <sz val="9"/>
        <color rgb="FF1A1F26"/>
        <rFont val="Arial"/>
        <family val="0"/>
        <charset val="1"/>
      </rPr>
      <t xml:space="preserve">RBAC</t>
    </r>
  </si>
  <si>
    <t xml:space="preserve">身分</t>
  </si>
  <si>
    <r>
      <rPr>
        <sz val="9"/>
        <color rgb="FF1A1F26"/>
        <rFont val="Noto Sans CJK SC"/>
        <family val="2"/>
      </rPr>
      <t xml:space="preserve">套用 </t>
    </r>
    <r>
      <rPr>
        <sz val="9"/>
        <color rgb="FF1A1F26"/>
        <rFont val="Arial"/>
        <family val="0"/>
        <charset val="1"/>
      </rPr>
      <t xml:space="preserve">002_identity </t>
    </r>
    <r>
      <rPr>
        <sz val="9"/>
        <color rgb="FF1A1F26"/>
        <rFont val="Noto Sans CJK SC"/>
        <family val="2"/>
      </rPr>
      <t xml:space="preserve">並驗證</t>
    </r>
  </si>
  <si>
    <r>
      <rPr>
        <sz val="9"/>
        <color rgb="FF1A1F26"/>
        <rFont val="Arial"/>
        <family val="0"/>
        <charset val="1"/>
      </rPr>
      <t xml:space="preserve">13 </t>
    </r>
    <r>
      <rPr>
        <sz val="9"/>
        <color rgb="FF1A1F26"/>
        <rFont val="Noto Sans CJK SC"/>
        <family val="2"/>
      </rPr>
      <t xml:space="preserve">張表 </t>
    </r>
    <r>
      <rPr>
        <sz val="9"/>
        <color rgb="FF1A1F26"/>
        <rFont val="Arial"/>
        <family val="0"/>
        <charset val="1"/>
      </rPr>
      <t xml:space="preserve">+ v_user_effective_permissions + </t>
    </r>
    <r>
      <rPr>
        <sz val="9"/>
        <color rgb="FF1A1F26"/>
        <rFont val="Noto Sans CJK SC"/>
        <family val="2"/>
      </rPr>
      <t xml:space="preserve">兩個判定函式</t>
    </r>
  </si>
  <si>
    <r>
      <rPr>
        <sz val="9"/>
        <color rgb="FF1A1F26"/>
        <rFont val="Arial"/>
        <family val="0"/>
        <charset val="1"/>
      </rPr>
      <t xml:space="preserve">user_has_permission </t>
    </r>
    <r>
      <rPr>
        <sz val="9"/>
        <color rgb="FF1A1F26"/>
        <rFont val="Noto Sans CJK SC"/>
        <family val="2"/>
      </rPr>
      <t xml:space="preserve">於 </t>
    </r>
    <r>
      <rPr>
        <sz val="9"/>
        <color rgb="FF1A1F26"/>
        <rFont val="Arial"/>
        <family val="0"/>
        <charset val="1"/>
      </rPr>
      <t xml:space="preserve">ORG </t>
    </r>
    <r>
      <rPr>
        <sz val="9"/>
        <color rgb="FF1A1F26"/>
        <rFont val="Noto Sans CJK SC"/>
        <family val="2"/>
      </rPr>
      <t xml:space="preserve">範圍正確涵蓋子樹</t>
    </r>
  </si>
  <si>
    <t xml:space="preserve">3.2</t>
  </si>
  <si>
    <t xml:space="preserve">本地帳號認證</t>
  </si>
  <si>
    <r>
      <rPr>
        <sz val="9"/>
        <color rgb="FF1A1F26"/>
        <rFont val="Arial"/>
        <family val="0"/>
        <charset val="1"/>
      </rPr>
      <t xml:space="preserve">argon2id</t>
    </r>
    <r>
      <rPr>
        <sz val="9"/>
        <color rgb="FF1A1F26"/>
        <rFont val="Noto Sans CJK SC"/>
        <family val="2"/>
      </rPr>
      <t xml:space="preserve">、密碼政策、失敗鎖定、</t>
    </r>
    <r>
      <rPr>
        <sz val="9"/>
        <color rgb="FF1A1F26"/>
        <rFont val="Arial"/>
        <family val="0"/>
        <charset val="1"/>
      </rPr>
      <t xml:space="preserve">auth_events</t>
    </r>
  </si>
  <si>
    <t xml:space="preserve">暴力破解測試觸發鎖定</t>
  </si>
  <si>
    <t xml:space="preserve">3.3</t>
  </si>
  <si>
    <r>
      <rPr>
        <sz val="9"/>
        <color rgb="FF1A1F26"/>
        <rFont val="Arial"/>
        <family val="0"/>
        <charset val="1"/>
      </rPr>
      <t xml:space="preserve">JWT </t>
    </r>
    <r>
      <rPr>
        <sz val="9"/>
        <color rgb="FF1A1F26"/>
        <rFont val="Noto Sans CJK SC"/>
        <family val="2"/>
      </rPr>
      <t xml:space="preserve">發放與驗證</t>
    </r>
  </si>
  <si>
    <r>
      <rPr>
        <sz val="9"/>
        <color rgb="FF1A1F26"/>
        <rFont val="Arial"/>
        <family val="0"/>
        <charset val="1"/>
      </rPr>
      <t xml:space="preserve">access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refresh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JWKS </t>
    </r>
    <r>
      <rPr>
        <sz val="9"/>
        <color rgb="FF1A1F26"/>
        <rFont val="Noto Sans CJK SC"/>
        <family val="2"/>
      </rPr>
      <t xml:space="preserve">快取、</t>
    </r>
    <r>
      <rPr>
        <sz val="9"/>
        <color rgb="FF1A1F26"/>
        <rFont val="Arial"/>
        <family val="0"/>
        <charset val="1"/>
      </rPr>
      <t xml:space="preserve">tid </t>
    </r>
    <r>
      <rPr>
        <sz val="9"/>
        <color rgb="FF1A1F26"/>
        <rFont val="Noto Sans CJK SC"/>
        <family val="2"/>
      </rPr>
      <t xml:space="preserve">與 </t>
    </r>
    <r>
      <rPr>
        <sz val="9"/>
        <color rgb="FF1A1F26"/>
        <rFont val="Arial"/>
        <family val="0"/>
        <charset val="1"/>
      </rPr>
      <t xml:space="preserve">X-Tenant-ID </t>
    </r>
    <r>
      <rPr>
        <sz val="9"/>
        <color rgb="FF1A1F26"/>
        <rFont val="Noto Sans CJK SC"/>
        <family val="2"/>
      </rPr>
      <t xml:space="preserve">一致性檢查</t>
    </r>
  </si>
  <si>
    <r>
      <rPr>
        <sz val="9"/>
        <color rgb="FF1A1F26"/>
        <rFont val="Arial"/>
        <family val="0"/>
        <charset val="1"/>
      </rPr>
      <t xml:space="preserve">token tid </t>
    </r>
    <r>
      <rPr>
        <sz val="9"/>
        <color rgb="FF1A1F26"/>
        <rFont val="Noto Sans CJK SC"/>
        <family val="2"/>
      </rPr>
      <t xml:space="preserve">與標頭不符回 </t>
    </r>
    <r>
      <rPr>
        <sz val="9"/>
        <color rgb="FF1A1F26"/>
        <rFont val="Arial"/>
        <family val="0"/>
        <charset val="1"/>
      </rPr>
      <t xml:space="preserve">403</t>
    </r>
  </si>
  <si>
    <t xml:space="preserve">3.4</t>
  </si>
  <si>
    <r>
      <rPr>
        <sz val="9"/>
        <color rgb="FF1A1F26"/>
        <rFont val="Arial"/>
        <family val="0"/>
        <charset val="1"/>
      </rPr>
      <t xml:space="preserve">OIDC </t>
    </r>
    <r>
      <rPr>
        <sz val="9"/>
        <color rgb="FF1A1F26"/>
        <rFont val="Noto Sans CJK SC"/>
        <family val="2"/>
      </rPr>
      <t xml:space="preserve">整合（</t>
    </r>
    <r>
      <rPr>
        <sz val="9"/>
        <color rgb="FF1A1F26"/>
        <rFont val="Arial"/>
        <family val="0"/>
        <charset val="1"/>
      </rPr>
      <t xml:space="preserve">Entra ID</t>
    </r>
    <r>
      <rPr>
        <sz val="9"/>
        <color rgb="FF1A1F26"/>
        <rFont val="Noto Sans CJK SC"/>
        <family val="2"/>
      </rPr>
      <t xml:space="preserve">）</t>
    </r>
  </si>
  <si>
    <r>
      <rPr>
        <sz val="9"/>
        <color rgb="FF1A1F26"/>
        <rFont val="Arial"/>
        <family val="0"/>
        <charset val="1"/>
      </rPr>
      <t xml:space="preserve">authorize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callback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PKCE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id_token </t>
    </r>
    <r>
      <rPr>
        <sz val="9"/>
        <color rgb="FF1A1F26"/>
        <rFont val="Noto Sans CJK SC"/>
        <family val="2"/>
      </rPr>
      <t xml:space="preserve">驗證、</t>
    </r>
    <r>
      <rPr>
        <sz val="9"/>
        <color rgb="FF1A1F26"/>
        <rFont val="Arial"/>
        <family val="0"/>
        <charset val="1"/>
      </rPr>
      <t xml:space="preserve">attribute_mapping</t>
    </r>
  </si>
  <si>
    <r>
      <rPr>
        <sz val="9"/>
        <color rgb="FF1A1F26"/>
        <rFont val="Noto Sans CJK SC"/>
        <family val="2"/>
      </rPr>
      <t xml:space="preserve">測試租戶可用 </t>
    </r>
    <r>
      <rPr>
        <sz val="9"/>
        <color rgb="FF1A1F26"/>
        <rFont val="Arial"/>
        <family val="0"/>
        <charset val="1"/>
      </rPr>
      <t xml:space="preserve">Entra </t>
    </r>
    <r>
      <rPr>
        <sz val="9"/>
        <color rgb="FF1A1F26"/>
        <rFont val="Noto Sans CJK SC"/>
        <family val="2"/>
      </rPr>
      <t xml:space="preserve">帳號登入</t>
    </r>
  </si>
  <si>
    <t xml:space="preserve">3.5</t>
  </si>
  <si>
    <r>
      <rPr>
        <sz val="9"/>
        <color rgb="FF1A1F26"/>
        <rFont val="Arial"/>
        <family val="0"/>
        <charset val="1"/>
      </rPr>
      <t xml:space="preserve">SAML2 </t>
    </r>
    <r>
      <rPr>
        <sz val="9"/>
        <color rgb="FF1A1F26"/>
        <rFont val="Noto Sans CJK SC"/>
        <family val="2"/>
      </rPr>
      <t xml:space="preserve">整合</t>
    </r>
  </si>
  <si>
    <r>
      <rPr>
        <sz val="9"/>
        <color rgb="FF1A1F26"/>
        <rFont val="Arial"/>
        <family val="0"/>
        <charset val="1"/>
      </rPr>
      <t xml:space="preserve">metadata </t>
    </r>
    <r>
      <rPr>
        <sz val="9"/>
        <color rgb="FF1A1F26"/>
        <rFont val="Noto Sans CJK SC"/>
        <family val="2"/>
      </rPr>
      <t xml:space="preserve">交換、簽章驗證、</t>
    </r>
    <r>
      <rPr>
        <sz val="9"/>
        <color rgb="FF1A1F26"/>
        <rFont val="Arial"/>
        <family val="0"/>
        <charset val="1"/>
      </rPr>
      <t xml:space="preserve">NameID </t>
    </r>
    <r>
      <rPr>
        <sz val="9"/>
        <color rgb="FF1A1F26"/>
        <rFont val="Noto Sans CJK SC"/>
        <family val="2"/>
      </rPr>
      <t xml:space="preserve">對應</t>
    </r>
  </si>
  <si>
    <r>
      <rPr>
        <sz val="9"/>
        <color rgb="FF1A1F26"/>
        <rFont val="Noto Sans CJK SC"/>
        <family val="2"/>
      </rPr>
      <t xml:space="preserve">可與 </t>
    </r>
    <r>
      <rPr>
        <sz val="9"/>
        <color rgb="FF1A1F26"/>
        <rFont val="Arial"/>
        <family val="0"/>
        <charset val="1"/>
      </rPr>
      <t xml:space="preserve">ADFS </t>
    </r>
    <r>
      <rPr>
        <sz val="9"/>
        <color rgb="FF1A1F26"/>
        <rFont val="Noto Sans CJK SC"/>
        <family val="2"/>
      </rPr>
      <t xml:space="preserve">測試環境完成登入</t>
    </r>
  </si>
  <si>
    <t xml:space="preserve">3.6</t>
  </si>
  <si>
    <r>
      <rPr>
        <sz val="9"/>
        <color rgb="FF1A1F26"/>
        <rFont val="Noto Sans CJK SC"/>
        <family val="2"/>
      </rPr>
      <t xml:space="preserve">地端 </t>
    </r>
    <r>
      <rPr>
        <sz val="9"/>
        <color rgb="FF1A1F26"/>
        <rFont val="Arial"/>
        <family val="0"/>
        <charset val="1"/>
      </rPr>
      <t xml:space="preserve">AD</t>
    </r>
    <r>
      <rPr>
        <sz val="9"/>
        <color rgb="FF1A1F26"/>
        <rFont val="Noto Sans CJK SC"/>
        <family val="2"/>
      </rPr>
      <t xml:space="preserve">（</t>
    </r>
    <r>
      <rPr>
        <sz val="9"/>
        <color rgb="FF1A1F26"/>
        <rFont val="Arial"/>
        <family val="0"/>
        <charset val="1"/>
      </rPr>
      <t xml:space="preserve">LDAPS</t>
    </r>
    <r>
      <rPr>
        <sz val="9"/>
        <color rgb="FF1A1F26"/>
        <rFont val="Noto Sans CJK SC"/>
        <family val="2"/>
      </rPr>
      <t xml:space="preserve">）認證與同步</t>
    </r>
  </si>
  <si>
    <r>
      <rPr>
        <sz val="9"/>
        <color rgb="FF1A1F26"/>
        <rFont val="Arial"/>
        <family val="0"/>
        <charset val="1"/>
      </rPr>
      <t xml:space="preserve">bind </t>
    </r>
    <r>
      <rPr>
        <sz val="9"/>
        <color rgb="FF1A1F26"/>
        <rFont val="Noto Sans CJK SC"/>
        <family val="2"/>
      </rPr>
      <t xml:space="preserve">驗證、使用者與群組同步（</t>
    </r>
    <r>
      <rPr>
        <sz val="9"/>
        <color rgb="FF1A1F26"/>
        <rFont val="Arial"/>
        <family val="0"/>
        <charset val="1"/>
      </rPr>
      <t xml:space="preserve">FULL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DELTA</t>
    </r>
    <r>
      <rPr>
        <sz val="9"/>
        <color rgb="FF1A1F26"/>
        <rFont val="Noto Sans CJK SC"/>
        <family val="2"/>
      </rPr>
      <t xml:space="preserve">）、</t>
    </r>
    <r>
      <rPr>
        <sz val="9"/>
        <color rgb="FF1A1F26"/>
        <rFont val="Arial"/>
        <family val="0"/>
        <charset val="1"/>
      </rPr>
      <t xml:space="preserve">directory_sync_runs</t>
    </r>
  </si>
  <si>
    <t xml:space="preserve">同步報表統計正確；連線失敗有明確錯誤</t>
  </si>
  <si>
    <t xml:space="preserve">3.7</t>
  </si>
  <si>
    <r>
      <rPr>
        <sz val="9"/>
        <color rgb="FF1A1F26"/>
        <rFont val="Arial"/>
        <family val="0"/>
        <charset val="1"/>
      </rPr>
      <t xml:space="preserve">JIT </t>
    </r>
    <r>
      <rPr>
        <sz val="9"/>
        <color rgb="FF1A1F26"/>
        <rFont val="Noto Sans CJK SC"/>
        <family val="2"/>
      </rPr>
      <t xml:space="preserve">供裝與群組→角色對應</t>
    </r>
  </si>
  <si>
    <r>
      <rPr>
        <sz val="9"/>
        <color rgb="FF1A1F26"/>
        <rFont val="Noto Sans CJK SC"/>
        <family val="2"/>
      </rPr>
      <t xml:space="preserve">首次登入建帳；只增撤 </t>
    </r>
    <r>
      <rPr>
        <sz val="9"/>
        <color rgb="FF1A1F26"/>
        <rFont val="Arial"/>
        <family val="0"/>
        <charset val="1"/>
      </rPr>
      <t xml:space="preserve">source=DIRECTORY_SYNC </t>
    </r>
    <r>
      <rPr>
        <sz val="9"/>
        <color rgb="FF1A1F26"/>
        <rFont val="Noto Sans CJK SC"/>
        <family val="2"/>
      </rPr>
      <t xml:space="preserve">的授權</t>
    </r>
  </si>
  <si>
    <t xml:space="preserve">3.4;3.6</t>
  </si>
  <si>
    <t xml:space="preserve">人工指派的授權在同步後完全不受影響</t>
  </si>
  <si>
    <t xml:space="preserve">3.8</t>
  </si>
  <si>
    <r>
      <rPr>
        <sz val="9"/>
        <color rgb="FF1A1F26"/>
        <rFont val="Arial"/>
        <family val="0"/>
        <charset val="1"/>
      </rPr>
      <t xml:space="preserve">SCIM 2.0 </t>
    </r>
    <r>
      <rPr>
        <sz val="9"/>
        <color rgb="FF1A1F26"/>
        <rFont val="Noto Sans CJK SC"/>
        <family val="2"/>
      </rPr>
      <t xml:space="preserve">端點</t>
    </r>
  </si>
  <si>
    <r>
      <rPr>
        <sz val="9"/>
        <color rgb="FF1A1F26"/>
        <rFont val="Arial"/>
        <family val="0"/>
        <charset val="1"/>
      </rPr>
      <t xml:space="preserve">/scim/v2/Users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/scim/v2/Groups</t>
    </r>
    <r>
      <rPr>
        <sz val="9"/>
        <color rgb="FF1A1F26"/>
        <rFont val="Noto Sans CJK SC"/>
        <family val="2"/>
      </rPr>
      <t xml:space="preserve">；</t>
    </r>
    <r>
      <rPr>
        <sz val="9"/>
        <color rgb="FF1A1F26"/>
        <rFont val="Arial"/>
        <family val="0"/>
        <charset val="1"/>
      </rPr>
      <t xml:space="preserve">token </t>
    </r>
    <r>
      <rPr>
        <sz val="9"/>
        <color rgb="FF1A1F26"/>
        <rFont val="Noto Sans CJK SC"/>
        <family val="2"/>
      </rPr>
      <t xml:space="preserve">認證</t>
    </r>
  </si>
  <si>
    <r>
      <rPr>
        <sz val="9"/>
        <color rgb="FF1A1F26"/>
        <rFont val="Arial"/>
        <family val="0"/>
        <charset val="1"/>
      </rPr>
      <t xml:space="preserve">Entra </t>
    </r>
    <r>
      <rPr>
        <sz val="9"/>
        <color rgb="FF1A1F26"/>
        <rFont val="Noto Sans CJK SC"/>
        <family val="2"/>
      </rPr>
      <t xml:space="preserve">供裝測試可建立與停用使用者</t>
    </r>
  </si>
  <si>
    <t xml:space="preserve">3.9</t>
  </si>
  <si>
    <t xml:space="preserve">權限</t>
  </si>
  <si>
    <r>
      <rPr>
        <sz val="9"/>
        <color rgb="FF1A1F26"/>
        <rFont val="Arial"/>
        <family val="0"/>
        <charset val="1"/>
      </rPr>
      <t xml:space="preserve">RBAC </t>
    </r>
    <r>
      <rPr>
        <sz val="9"/>
        <color rgb="FF1A1F26"/>
        <rFont val="Noto Sans CJK SC"/>
        <family val="2"/>
      </rPr>
      <t xml:space="preserve">判定與快取</t>
    </r>
  </si>
  <si>
    <r>
      <rPr>
        <sz val="9"/>
        <color rgb="FF1A1F26"/>
        <rFont val="Arial"/>
        <family val="0"/>
        <charset val="1"/>
      </rPr>
      <t xml:space="preserve">scope </t>
    </r>
    <r>
      <rPr>
        <sz val="9"/>
        <color rgb="FF1A1F26"/>
        <rFont val="Noto Sans CJK SC"/>
        <family val="2"/>
      </rPr>
      <t xml:space="preserve">展開（</t>
    </r>
    <r>
      <rPr>
        <sz val="9"/>
        <color rgb="FF1A1F26"/>
        <rFont val="Arial"/>
        <family val="0"/>
        <charset val="1"/>
      </rPr>
      <t xml:space="preserve">TENANT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ORG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FACILITY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SPATIAL_NODE</t>
    </r>
    <r>
      <rPr>
        <sz val="9"/>
        <color rgb="FF1A1F26"/>
        <rFont val="Noto Sans CJK SC"/>
        <family val="2"/>
      </rPr>
      <t xml:space="preserve">）；</t>
    </r>
    <r>
      <rPr>
        <sz val="9"/>
        <color rgb="FF1A1F26"/>
        <rFont val="Arial"/>
        <family val="0"/>
        <charset val="1"/>
      </rPr>
      <t xml:space="preserve">Redis </t>
    </r>
    <r>
      <rPr>
        <sz val="9"/>
        <color rgb="FF1A1F26"/>
        <rFont val="Noto Sans CJK SC"/>
        <family val="2"/>
      </rPr>
      <t xml:space="preserve">快取與失效</t>
    </r>
  </si>
  <si>
    <r>
      <rPr>
        <sz val="9"/>
        <color rgb="FF1A1F26"/>
        <rFont val="Noto Sans CJK SC"/>
        <family val="2"/>
      </rPr>
      <t xml:space="preserve">權限變更 </t>
    </r>
    <r>
      <rPr>
        <sz val="9"/>
        <color rgb="FF1A1F26"/>
        <rFont val="Arial"/>
        <family val="0"/>
        <charset val="1"/>
      </rPr>
      <t xml:space="preserve">5 </t>
    </r>
    <r>
      <rPr>
        <sz val="9"/>
        <color rgb="FF1A1F26"/>
        <rFont val="Noto Sans CJK SC"/>
        <family val="2"/>
      </rPr>
      <t xml:space="preserve">秒內生效</t>
    </r>
  </si>
  <si>
    <t xml:space="preserve">3.10</t>
  </si>
  <si>
    <r>
      <rPr>
        <sz val="9"/>
        <color rgb="FF1A1F26"/>
        <rFont val="Noto Sans CJK SC"/>
        <family val="2"/>
      </rPr>
      <t xml:space="preserve">使用者、角色、授權 </t>
    </r>
    <r>
      <rPr>
        <sz val="9"/>
        <color rgb="FF1A1F26"/>
        <rFont val="Arial"/>
        <family val="0"/>
        <charset val="1"/>
      </rPr>
      <t xml:space="preserve">API</t>
    </r>
  </si>
  <si>
    <r>
      <rPr>
        <sz val="9"/>
        <color rgb="FF1A1F26"/>
        <rFont val="Noto Sans CJK SC"/>
        <family val="2"/>
      </rPr>
      <t xml:space="preserve">含 </t>
    </r>
    <r>
      <rPr>
        <sz val="9"/>
        <color rgb="FF1A1F26"/>
        <rFont val="Arial"/>
        <family val="0"/>
        <charset val="1"/>
      </rPr>
      <t xml:space="preserve">/auth/me</t>
    </r>
    <r>
      <rPr>
        <sz val="9"/>
        <color rgb="FF1A1F26"/>
        <rFont val="Noto Sans CJK SC"/>
        <family val="2"/>
      </rPr>
      <t xml:space="preserve">（可存取場館 </t>
    </r>
    <r>
      <rPr>
        <sz val="9"/>
        <color rgb="FF1A1F26"/>
        <rFont val="Arial"/>
        <family val="0"/>
        <charset val="1"/>
      </rPr>
      <t xml:space="preserve">+ </t>
    </r>
    <r>
      <rPr>
        <sz val="9"/>
        <color rgb="FF1A1F26"/>
        <rFont val="Noto Sans CJK SC"/>
        <family val="2"/>
      </rPr>
      <t xml:space="preserve">展開權限）</t>
    </r>
  </si>
  <si>
    <t xml:space="preserve">前端可完全依權限字串建構選單</t>
  </si>
  <si>
    <t xml:space="preserve">3.11</t>
  </si>
  <si>
    <r>
      <rPr>
        <sz val="9"/>
        <color rgb="FF1A1F26"/>
        <rFont val="Arial"/>
        <family val="0"/>
        <charset val="1"/>
      </rPr>
      <t xml:space="preserve">AD </t>
    </r>
    <r>
      <rPr>
        <sz val="9"/>
        <color rgb="FF1A1F26"/>
        <rFont val="Noto Sans CJK SC"/>
        <family val="2"/>
      </rPr>
      <t xml:space="preserve">整合測試環境</t>
    </r>
  </si>
  <si>
    <r>
      <rPr>
        <sz val="9"/>
        <color rgb="FF1A1F26"/>
        <rFont val="Noto Sans CJK SC"/>
        <family val="2"/>
      </rPr>
      <t xml:space="preserve">架設測試 </t>
    </r>
    <r>
      <rPr>
        <sz val="9"/>
        <color rgb="FF1A1F26"/>
        <rFont val="Arial"/>
        <family val="0"/>
        <charset val="1"/>
      </rPr>
      <t xml:space="preserve">AD</t>
    </r>
    <r>
      <rPr>
        <sz val="9"/>
        <color rgb="FF1A1F26"/>
        <rFont val="Noto Sans CJK SC"/>
        <family val="2"/>
      </rPr>
      <t xml:space="preserve">（含巢狀群組）與 </t>
    </r>
    <r>
      <rPr>
        <sz val="9"/>
        <color rgb="FF1A1F26"/>
        <rFont val="Arial"/>
        <family val="0"/>
        <charset val="1"/>
      </rPr>
      <t xml:space="preserve">Entra </t>
    </r>
    <r>
      <rPr>
        <sz val="9"/>
        <color rgb="FF1A1F26"/>
        <rFont val="Noto Sans CJK SC"/>
        <family val="2"/>
      </rPr>
      <t xml:space="preserve">測試租戶</t>
    </r>
  </si>
  <si>
    <t xml:space="preserve">可重複執行同步演練</t>
  </si>
  <si>
    <t xml:space="preserve">3.12</t>
  </si>
  <si>
    <t xml:space="preserve">身分與權限測試套件</t>
  </si>
  <si>
    <r>
      <rPr>
        <sz val="9"/>
        <color rgb="FF1A1F26"/>
        <rFont val="Noto Sans CJK SC"/>
        <family val="2"/>
      </rPr>
      <t xml:space="preserve">三軌認證、</t>
    </r>
    <r>
      <rPr>
        <sz val="9"/>
        <color rgb="FF1A1F26"/>
        <rFont val="Arial"/>
        <family val="0"/>
        <charset val="1"/>
      </rPr>
      <t xml:space="preserve">JIT</t>
    </r>
    <r>
      <rPr>
        <sz val="9"/>
        <color rgb="FF1A1F26"/>
        <rFont val="Noto Sans CJK SC"/>
        <family val="2"/>
      </rPr>
      <t xml:space="preserve">、同步增撤、</t>
    </r>
    <r>
      <rPr>
        <sz val="9"/>
        <color rgb="FF1A1F26"/>
        <rFont val="Arial"/>
        <family val="0"/>
        <charset val="1"/>
      </rPr>
      <t xml:space="preserve">scope </t>
    </r>
    <r>
      <rPr>
        <sz val="9"/>
        <color rgb="FF1A1F26"/>
        <rFont val="Noto Sans CJK SC"/>
        <family val="2"/>
      </rPr>
      <t xml:space="preserve">展開</t>
    </r>
  </si>
  <si>
    <r>
      <rPr>
        <sz val="9"/>
        <color rgb="FF1A1F26"/>
        <rFont val="Noto Sans CJK SC"/>
        <family val="2"/>
      </rPr>
      <t xml:space="preserve">覆蓋率 ≥ </t>
    </r>
    <r>
      <rPr>
        <sz val="9"/>
        <color rgb="FF1A1F26"/>
        <rFont val="Arial"/>
        <family val="0"/>
        <charset val="1"/>
      </rPr>
      <t xml:space="preserve">90%</t>
    </r>
  </si>
  <si>
    <t xml:space="preserve">4.1</t>
  </si>
  <si>
    <t xml:space="preserve">S3</t>
  </si>
  <si>
    <r>
      <rPr>
        <sz val="9"/>
        <color rgb="FF1A1F26"/>
        <rFont val="Noto Sans CJK SC"/>
        <family val="2"/>
      </rPr>
      <t xml:space="preserve">空間、</t>
    </r>
    <r>
      <rPr>
        <sz val="9"/>
        <color rgb="FF1A1F26"/>
        <rFont val="Arial"/>
        <family val="0"/>
        <charset val="1"/>
      </rPr>
      <t xml:space="preserve">BIM </t>
    </r>
    <r>
      <rPr>
        <sz val="9"/>
        <color rgb="FF1A1F26"/>
        <rFont val="Noto Sans CJK SC"/>
        <family val="2"/>
      </rPr>
      <t xml:space="preserve">與資產</t>
    </r>
  </si>
  <si>
    <t xml:space="preserve">空間</t>
  </si>
  <si>
    <r>
      <rPr>
        <sz val="9"/>
        <color rgb="FF1A1F26"/>
        <rFont val="Noto Sans CJK SC"/>
        <family val="2"/>
      </rPr>
      <t xml:space="preserve">套用 </t>
    </r>
    <r>
      <rPr>
        <sz val="9"/>
        <color rgb="FF1A1F26"/>
        <rFont val="Arial"/>
        <family val="0"/>
        <charset val="1"/>
      </rPr>
      <t xml:space="preserve">003_spatial_assets </t>
    </r>
    <r>
      <rPr>
        <sz val="9"/>
        <color rgb="FF1A1F26"/>
        <rFont val="Noto Sans CJK SC"/>
        <family val="2"/>
      </rPr>
      <t xml:space="preserve">並驗證</t>
    </r>
  </si>
  <si>
    <r>
      <rPr>
        <sz val="9"/>
        <color rgb="FF1A1F26"/>
        <rFont val="Arial"/>
        <family val="0"/>
        <charset val="1"/>
      </rPr>
      <t xml:space="preserve">spatial_nodes ltree </t>
    </r>
    <r>
      <rPr>
        <sz val="9"/>
        <color rgb="FF1A1F26"/>
        <rFont val="Noto Sans CJK SC"/>
        <family val="2"/>
      </rPr>
      <t xml:space="preserve">觸發器、資產、型錄、計量</t>
    </r>
  </si>
  <si>
    <r>
      <rPr>
        <sz val="9"/>
        <color rgb="FF1A1F26"/>
        <rFont val="Noto Sans CJK SC"/>
        <family val="2"/>
      </rPr>
      <t xml:space="preserve">子樹搬移後 </t>
    </r>
    <r>
      <rPr>
        <sz val="9"/>
        <color rgb="FF1A1F26"/>
        <rFont val="Arial"/>
        <family val="0"/>
        <charset val="1"/>
      </rPr>
      <t xml:space="preserve">node_path </t>
    </r>
    <r>
      <rPr>
        <sz val="9"/>
        <color rgb="FF1A1F26"/>
        <rFont val="Noto Sans CJK SC"/>
        <family val="2"/>
      </rPr>
      <t xml:space="preserve">與 </t>
    </r>
    <r>
      <rPr>
        <sz val="9"/>
        <color rgb="FF1A1F26"/>
        <rFont val="Arial"/>
        <family val="0"/>
        <charset val="1"/>
      </rPr>
      <t xml:space="preserve">depth </t>
    </r>
    <r>
      <rPr>
        <sz val="9"/>
        <color rgb="FF1A1F26"/>
        <rFont val="Noto Sans CJK SC"/>
        <family val="2"/>
      </rPr>
      <t xml:space="preserve">全部正確</t>
    </r>
  </si>
  <si>
    <t xml:space="preserve">4.2</t>
  </si>
  <si>
    <r>
      <rPr>
        <sz val="9"/>
        <color rgb="FF1A1F26"/>
        <rFont val="Noto Sans CJK SC"/>
        <family val="2"/>
      </rPr>
      <t xml:space="preserve">空間節點 </t>
    </r>
    <r>
      <rPr>
        <sz val="9"/>
        <color rgb="FF1A1F26"/>
        <rFont val="Arial"/>
        <family val="0"/>
        <charset val="1"/>
      </rPr>
      <t xml:space="preserve">API</t>
    </r>
  </si>
  <si>
    <r>
      <rPr>
        <sz val="9"/>
        <color rgb="FF1A1F26"/>
        <rFont val="Arial"/>
        <family val="0"/>
        <charset val="1"/>
      </rPr>
      <t xml:space="preserve">view=flat/tree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subtree_of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floor_level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bookable_only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asset </t>
    </r>
    <r>
      <rPr>
        <sz val="9"/>
        <color rgb="FF1A1F26"/>
        <rFont val="Noto Sans CJK SC"/>
        <family val="2"/>
      </rPr>
      <t xml:space="preserve">計數</t>
    </r>
  </si>
  <si>
    <t xml:space="preserve">4.1;2.9</t>
  </si>
  <si>
    <r>
      <rPr>
        <sz val="9"/>
        <color rgb="FF1A1F26"/>
        <rFont val="Arial"/>
        <family val="0"/>
        <charset val="1"/>
      </rPr>
      <t xml:space="preserve">1 </t>
    </r>
    <r>
      <rPr>
        <sz val="9"/>
        <color rgb="FF1A1F26"/>
        <rFont val="Noto Sans CJK SC"/>
        <family val="2"/>
      </rPr>
      <t xml:space="preserve">萬節點的 </t>
    </r>
    <r>
      <rPr>
        <sz val="9"/>
        <color rgb="FF1A1F26"/>
        <rFont val="Arial"/>
        <family val="0"/>
        <charset val="1"/>
      </rPr>
      <t xml:space="preserve">tree </t>
    </r>
    <r>
      <rPr>
        <sz val="9"/>
        <color rgb="FF1A1F26"/>
        <rFont val="Noto Sans CJK SC"/>
        <family val="2"/>
      </rPr>
      <t xml:space="preserve">查詢 </t>
    </r>
    <r>
      <rPr>
        <sz val="9"/>
        <color rgb="FF1A1F26"/>
        <rFont val="Arial"/>
        <family val="0"/>
        <charset val="1"/>
      </rPr>
      <t xml:space="preserve">P95 &lt; 500 ms</t>
    </r>
  </si>
  <si>
    <t xml:space="preserve">4.3</t>
  </si>
  <si>
    <t xml:space="preserve">空間批次匯入</t>
  </si>
  <si>
    <r>
      <rPr>
        <sz val="9"/>
        <color rgb="FF1A1F26"/>
        <rFont val="Arial"/>
        <family val="0"/>
        <charset val="1"/>
      </rPr>
      <t xml:space="preserve">CSV/JSON</t>
    </r>
    <r>
      <rPr>
        <sz val="9"/>
        <color rgb="FF1A1F26"/>
        <rFont val="Noto Sans CJK SC"/>
        <family val="2"/>
      </rPr>
      <t xml:space="preserve">、試跑模式、差異報告</t>
    </r>
  </si>
  <si>
    <t xml:space="preserve">匯入失敗不留半套資料</t>
  </si>
  <si>
    <t xml:space="preserve">4.4</t>
  </si>
  <si>
    <t xml:space="preserve">BIM</t>
  </si>
  <si>
    <r>
      <rPr>
        <sz val="9"/>
        <color rgb="FF1A1F26"/>
        <rFont val="Arial"/>
        <family val="0"/>
        <charset val="1"/>
      </rPr>
      <t xml:space="preserve">BIM </t>
    </r>
    <r>
      <rPr>
        <sz val="9"/>
        <color rgb="FF1A1F26"/>
        <rFont val="Noto Sans CJK SC"/>
        <family val="2"/>
      </rPr>
      <t xml:space="preserve">模型註冊與解析作業</t>
    </r>
  </si>
  <si>
    <r>
      <rPr>
        <sz val="9"/>
        <color rgb="FF1A1F26"/>
        <rFont val="Arial"/>
        <family val="0"/>
        <charset val="1"/>
      </rPr>
      <t xml:space="preserve">IFC </t>
    </r>
    <r>
      <rPr>
        <sz val="9"/>
        <color rgb="FF1A1F26"/>
        <rFont val="Noto Sans CJK SC"/>
        <family val="2"/>
      </rPr>
      <t xml:space="preserve">解析、元件抽取、自動對應節點與設備</t>
    </r>
  </si>
  <si>
    <t xml:space="preserve">解析報告含已對應／未對應統計</t>
  </si>
  <si>
    <t xml:space="preserve">4.5</t>
  </si>
  <si>
    <r>
      <rPr>
        <sz val="9"/>
        <color rgb="FF1A1F26"/>
        <rFont val="Noto Sans CJK SC"/>
        <family val="2"/>
      </rPr>
      <t xml:space="preserve">未識別元件補正 </t>
    </r>
    <r>
      <rPr>
        <sz val="9"/>
        <color rgb="FF1A1F26"/>
        <rFont val="Arial"/>
        <family val="0"/>
        <charset val="1"/>
      </rPr>
      <t xml:space="preserve">API</t>
    </r>
  </si>
  <si>
    <r>
      <rPr>
        <sz val="9"/>
        <color rgb="FF1A1F26"/>
        <rFont val="Arial"/>
        <family val="0"/>
        <charset val="1"/>
      </rPr>
      <t xml:space="preserve">unresolved_elements </t>
    </r>
    <r>
      <rPr>
        <sz val="9"/>
        <color rgb="FF1A1F26"/>
        <rFont val="Noto Sans CJK SC"/>
        <family val="2"/>
      </rPr>
      <t xml:space="preserve">列表 </t>
    </r>
    <r>
      <rPr>
        <sz val="9"/>
        <color rgb="FF1A1F26"/>
        <rFont val="Arial"/>
        <family val="0"/>
        <charset val="1"/>
      </rPr>
      <t xml:space="preserve">+ </t>
    </r>
    <r>
      <rPr>
        <sz val="9"/>
        <color rgb="FF1A1F26"/>
        <rFont val="Noto Sans CJK SC"/>
        <family val="2"/>
      </rPr>
      <t xml:space="preserve">手動對應端點</t>
    </r>
  </si>
  <si>
    <r>
      <rPr>
        <sz val="9"/>
        <color rgb="FF1A1F26"/>
        <rFont val="Arial"/>
        <family val="0"/>
        <charset val="1"/>
      </rPr>
      <t xml:space="preserve">B1 </t>
    </r>
    <r>
      <rPr>
        <sz val="9"/>
        <color rgb="FF1A1F26"/>
        <rFont val="Noto Sans CJK SC"/>
        <family val="2"/>
      </rPr>
      <t xml:space="preserve">兩台未識別設備可完成人工對應</t>
    </r>
  </si>
  <si>
    <t xml:space="preserve">4.6</t>
  </si>
  <si>
    <t xml:space="preserve">資產</t>
  </si>
  <si>
    <r>
      <rPr>
        <sz val="9"/>
        <color rgb="FF1A1F26"/>
        <rFont val="Noto Sans CJK SC"/>
        <family val="2"/>
      </rPr>
      <t xml:space="preserve">資產 </t>
    </r>
    <r>
      <rPr>
        <sz val="9"/>
        <color rgb="FF1A1F26"/>
        <rFont val="Arial"/>
        <family val="0"/>
        <charset val="1"/>
      </rPr>
      <t xml:space="preserve">CRUD </t>
    </r>
    <r>
      <rPr>
        <sz val="9"/>
        <color rgb="FF1A1F26"/>
        <rFont val="Noto Sans CJK SC"/>
        <family val="2"/>
      </rPr>
      <t xml:space="preserve">與查詢 </t>
    </r>
    <r>
      <rPr>
        <sz val="9"/>
        <color rgb="FF1A1F26"/>
        <rFont val="Arial"/>
        <family val="0"/>
        <charset val="1"/>
      </rPr>
      <t xml:space="preserve">API</t>
    </r>
  </si>
  <si>
    <r>
      <rPr>
        <sz val="9"/>
        <color rgb="FF1A1F26"/>
        <rFont val="Arial"/>
        <family val="0"/>
        <charset val="1"/>
      </rPr>
      <t xml:space="preserve">10 </t>
    </r>
    <r>
      <rPr>
        <sz val="9"/>
        <color rgb="FF1A1F26"/>
        <rFont val="Noto Sans CJK SC"/>
        <family val="2"/>
      </rPr>
      <t xml:space="preserve">種過濾維度、</t>
    </r>
    <r>
      <rPr>
        <sz val="9"/>
        <color rgb="FF1A1F26"/>
        <rFont val="Arial"/>
        <family val="0"/>
        <charset val="1"/>
      </rPr>
      <t xml:space="preserve">include </t>
    </r>
    <r>
      <rPr>
        <sz val="9"/>
        <color rgb="FF1A1F26"/>
        <rFont val="Noto Sans CJK SC"/>
        <family val="2"/>
      </rPr>
      <t xml:space="preserve">展開、樂觀鎖</t>
    </r>
  </si>
  <si>
    <r>
      <rPr>
        <sz val="9"/>
        <color rgb="FF1A1F26"/>
        <rFont val="Arial"/>
        <family val="0"/>
        <charset val="1"/>
      </rPr>
      <t xml:space="preserve">2 </t>
    </r>
    <r>
      <rPr>
        <sz val="9"/>
        <color rgb="FF1A1F26"/>
        <rFont val="Noto Sans CJK SC"/>
        <family val="2"/>
      </rPr>
      <t xml:space="preserve">萬設備列表查詢 </t>
    </r>
    <r>
      <rPr>
        <sz val="9"/>
        <color rgb="FF1A1F26"/>
        <rFont val="Arial"/>
        <family val="0"/>
        <charset val="1"/>
      </rPr>
      <t xml:space="preserve">P95 &lt; 300 ms</t>
    </r>
  </si>
  <si>
    <t xml:space="preserve">4.7</t>
  </si>
  <si>
    <r>
      <rPr>
        <sz val="9"/>
        <color rgb="FF1A1F26"/>
        <rFont val="Noto Sans CJK SC"/>
        <family val="2"/>
      </rPr>
      <t xml:space="preserve">子設備與依賴圖 </t>
    </r>
    <r>
      <rPr>
        <sz val="9"/>
        <color rgb="FF1A1F26"/>
        <rFont val="Arial"/>
        <family val="0"/>
        <charset val="1"/>
      </rPr>
      <t xml:space="preserve">API</t>
    </r>
  </si>
  <si>
    <r>
      <rPr>
        <sz val="9"/>
        <color rgb="FF1A1F26"/>
        <rFont val="Arial"/>
        <family val="0"/>
        <charset val="1"/>
      </rPr>
      <t xml:space="preserve">parent_asset_id </t>
    </r>
    <r>
      <rPr>
        <sz val="9"/>
        <color rgb="FF1A1F26"/>
        <rFont val="Noto Sans CJK SC"/>
        <family val="2"/>
      </rPr>
      <t xml:space="preserve">展開、</t>
    </r>
    <r>
      <rPr>
        <sz val="9"/>
        <color rgb="FF1A1F26"/>
        <rFont val="Arial"/>
        <family val="0"/>
        <charset val="1"/>
      </rPr>
      <t xml:space="preserve">dependency-graph</t>
    </r>
    <r>
      <rPr>
        <sz val="9"/>
        <color rgb="FF1A1F26"/>
        <rFont val="Noto Sans CJK SC"/>
        <family val="2"/>
      </rPr>
      <t xml:space="preserve">（深度與方向）</t>
    </r>
  </si>
  <si>
    <r>
      <rPr>
        <sz val="9"/>
        <color rgb="FF1A1F26"/>
        <rFont val="Arial"/>
        <family val="0"/>
        <charset val="1"/>
      </rPr>
      <t xml:space="preserve">UPS </t>
    </r>
    <r>
      <rPr>
        <sz val="9"/>
        <color rgb="FF1A1F26"/>
        <rFont val="Noto Sans CJK SC"/>
        <family val="2"/>
      </rPr>
      <t xml:space="preserve">停機可查出所有受影響設備</t>
    </r>
  </si>
  <si>
    <t xml:space="preserve">4.8</t>
  </si>
  <si>
    <r>
      <rPr>
        <sz val="9"/>
        <color rgb="FF1A1F26"/>
        <rFont val="Noto Sans CJK SC"/>
        <family val="2"/>
      </rPr>
      <t xml:space="preserve">設備型錄與相容性 </t>
    </r>
    <r>
      <rPr>
        <sz val="9"/>
        <color rgb="FF1A1F26"/>
        <rFont val="Arial"/>
        <family val="0"/>
        <charset val="1"/>
      </rPr>
      <t xml:space="preserve">API</t>
    </r>
  </si>
  <si>
    <r>
      <rPr>
        <sz val="9"/>
        <color rgb="FF1A1F26"/>
        <rFont val="Noto Sans CJK SC"/>
        <family val="2"/>
      </rPr>
      <t xml:space="preserve">平台共用 </t>
    </r>
    <r>
      <rPr>
        <sz val="9"/>
        <color rgb="FF1A1F26"/>
        <rFont val="Arial"/>
        <family val="0"/>
        <charset val="1"/>
      </rPr>
      <t xml:space="preserve">+ </t>
    </r>
    <r>
      <rPr>
        <sz val="9"/>
        <color rgb="FF1A1F26"/>
        <rFont val="Noto Sans CJK SC"/>
        <family val="2"/>
      </rPr>
      <t xml:space="preserve">租戶自建；相容性查詢</t>
    </r>
  </si>
  <si>
    <t xml:space="preserve">租戶看得到平台型錄但不能修改</t>
  </si>
  <si>
    <t xml:space="preserve">4.9</t>
  </si>
  <si>
    <r>
      <rPr>
        <sz val="9"/>
        <color rgb="FF1A1F26"/>
        <rFont val="Noto Sans CJK SC"/>
        <family val="2"/>
      </rPr>
      <t xml:space="preserve">計量與讀數 </t>
    </r>
    <r>
      <rPr>
        <sz val="9"/>
        <color rgb="FF1A1F26"/>
        <rFont val="Arial"/>
        <family val="0"/>
        <charset val="1"/>
      </rPr>
      <t xml:space="preserve">API</t>
    </r>
  </si>
  <si>
    <t xml:space="preserve">人工登錄、匯入、時序查詢</t>
  </si>
  <si>
    <r>
      <rPr>
        <sz val="9"/>
        <color rgb="FF1A1F26"/>
        <rFont val="Noto Sans CJK SC"/>
        <family val="2"/>
      </rPr>
      <t xml:space="preserve">讀數觸發計量式 </t>
    </r>
    <r>
      <rPr>
        <sz val="9"/>
        <color rgb="FF1A1F26"/>
        <rFont val="Arial"/>
        <family val="0"/>
        <charset val="1"/>
      </rPr>
      <t xml:space="preserve">PM </t>
    </r>
    <r>
      <rPr>
        <sz val="9"/>
        <color rgb="FF1A1F26"/>
        <rFont val="Noto Sans CJK SC"/>
        <family val="2"/>
      </rPr>
      <t xml:space="preserve">判定</t>
    </r>
  </si>
  <si>
    <t xml:space="preserve">4.10</t>
  </si>
  <si>
    <r>
      <rPr>
        <sz val="9"/>
        <color rgb="FF1A1F26"/>
        <rFont val="Noto Sans CJK SC"/>
        <family val="2"/>
      </rPr>
      <t xml:space="preserve">資產批次匯入（銜接 </t>
    </r>
    <r>
      <rPr>
        <sz val="9"/>
        <color rgb="FF1A1F26"/>
        <rFont val="Arial"/>
        <family val="0"/>
        <charset val="1"/>
      </rPr>
      <t xml:space="preserve">Lovable</t>
    </r>
    <r>
      <rPr>
        <sz val="9"/>
        <color rgb="FF1A1F26"/>
        <rFont val="Noto Sans CJK SC"/>
        <family val="2"/>
      </rPr>
      <t xml:space="preserve">）</t>
    </r>
  </si>
  <si>
    <r>
      <rPr>
        <sz val="9"/>
        <color rgb="FF1A1F26"/>
        <rFont val="Noto Sans CJK SC"/>
        <family val="2"/>
      </rPr>
      <t xml:space="preserve">分類對映、試跑、</t>
    </r>
    <r>
      <rPr>
        <sz val="9"/>
        <color rgb="FF1A1F26"/>
        <rFont val="Arial"/>
        <family val="0"/>
        <charset val="1"/>
      </rPr>
      <t xml:space="preserve">47 </t>
    </r>
    <r>
      <rPr>
        <sz val="9"/>
        <color rgb="FF1A1F26"/>
        <rFont val="Noto Sans CJK SC"/>
        <family val="2"/>
      </rPr>
      <t xml:space="preserve">筆待確認清單處理</t>
    </r>
  </si>
  <si>
    <t xml:space="preserve">差異報告經客戶確認後才正式匯入</t>
  </si>
  <si>
    <t xml:space="preserve">4.11</t>
  </si>
  <si>
    <t xml:space="preserve">空間與資產測試</t>
  </si>
  <si>
    <r>
      <rPr>
        <sz val="9"/>
        <color rgb="FF1A1F26"/>
        <rFont val="Arial"/>
        <family val="0"/>
        <charset val="1"/>
      </rPr>
      <t xml:space="preserve">ltree </t>
    </r>
    <r>
      <rPr>
        <sz val="9"/>
        <color rgb="FF1A1F26"/>
        <rFont val="Noto Sans CJK SC"/>
        <family val="2"/>
      </rPr>
      <t xml:space="preserve">搬移、依賴圖、匯入邊界案例</t>
    </r>
  </si>
  <si>
    <t xml:space="preserve">5.1</t>
  </si>
  <si>
    <t xml:space="preserve">統一工單與狀態機</t>
  </si>
  <si>
    <r>
      <rPr>
        <sz val="9"/>
        <color rgb="FF1A1F26"/>
        <rFont val="Noto Sans CJK SC"/>
        <family val="2"/>
      </rPr>
      <t xml:space="preserve">套用 </t>
    </r>
    <r>
      <rPr>
        <sz val="9"/>
        <color rgb="FF1A1F26"/>
        <rFont val="Arial"/>
        <family val="0"/>
        <charset val="1"/>
      </rPr>
      <t xml:space="preserve">004</t>
    </r>
    <r>
      <rPr>
        <sz val="9"/>
        <color rgb="FF1A1F26"/>
        <rFont val="Noto Sans CJK SC"/>
        <family val="2"/>
      </rPr>
      <t xml:space="preserve">（工單部分）並驗證</t>
    </r>
  </si>
  <si>
    <r>
      <rPr>
        <sz val="9"/>
        <color rgb="FF1A1F26"/>
        <rFont val="Arial"/>
        <family val="0"/>
        <charset val="1"/>
      </rPr>
      <t xml:space="preserve">work_orders</t>
    </r>
    <r>
      <rPr>
        <sz val="9"/>
        <color rgb="FF1A1F26"/>
        <rFont val="Noto Sans CJK SC"/>
        <family val="2"/>
      </rPr>
      <t xml:space="preserve">、狀態字典、狀態機表、</t>
    </r>
    <r>
      <rPr>
        <sz val="9"/>
        <color rgb="FF1A1F26"/>
        <rFont val="Arial"/>
        <family val="0"/>
        <charset val="1"/>
      </rPr>
      <t xml:space="preserve">transition </t>
    </r>
    <r>
      <rPr>
        <sz val="9"/>
        <color rgb="FF1A1F26"/>
        <rFont val="Noto Sans CJK SC"/>
        <family val="2"/>
      </rPr>
      <t xml:space="preserve">函式與觸發器</t>
    </r>
  </si>
  <si>
    <r>
      <rPr>
        <sz val="9"/>
        <color rgb="FF1A1F26"/>
        <rFont val="Arial"/>
        <family val="0"/>
        <charset val="1"/>
      </rPr>
      <t xml:space="preserve">T3 </t>
    </r>
    <r>
      <rPr>
        <sz val="9"/>
        <color rgb="FF1A1F26"/>
        <rFont val="Noto Sans CJK SC"/>
        <family val="2"/>
      </rPr>
      <t xml:space="preserve">狀態機斷言通過</t>
    </r>
  </si>
  <si>
    <r>
      <rPr>
        <sz val="9"/>
        <color rgb="FF1A1F26"/>
        <rFont val="Noto Sans CJK SC"/>
        <family val="2"/>
      </rPr>
      <t xml:space="preserve">權限 → 必填欄位 → 合法性三段檢查；</t>
    </r>
    <r>
      <rPr>
        <sz val="9"/>
        <color rgb="FF1A1F26"/>
        <rFont val="Arial"/>
        <family val="0"/>
        <charset val="1"/>
      </rPr>
      <t xml:space="preserve">side_effects </t>
    </r>
    <r>
      <rPr>
        <sz val="9"/>
        <color rgb="FF1A1F26"/>
        <rFont val="Noto Sans CJK SC"/>
        <family val="2"/>
      </rPr>
      <t xml:space="preserve">分派器</t>
    </r>
  </si>
  <si>
    <t xml:space="preserve">5.1;3.9</t>
  </si>
  <si>
    <r>
      <rPr>
        <sz val="9"/>
        <color rgb="FF1A1F26"/>
        <rFont val="Noto Sans CJK SC"/>
        <family val="2"/>
      </rPr>
      <t xml:space="preserve">非法動作與繞過 </t>
    </r>
    <r>
      <rPr>
        <sz val="9"/>
        <color rgb="FF1A1F26"/>
        <rFont val="Arial"/>
        <family val="0"/>
        <charset val="1"/>
      </rPr>
      <t xml:space="preserve">UPDATE </t>
    </r>
    <r>
      <rPr>
        <sz val="9"/>
        <color rgb="FF1A1F26"/>
        <rFont val="Noto Sans CJK SC"/>
        <family val="2"/>
      </rPr>
      <t xml:space="preserve">皆被拒絕</t>
    </r>
  </si>
  <si>
    <t xml:space="preserve">5.3</t>
  </si>
  <si>
    <r>
      <rPr>
        <sz val="9"/>
        <color rgb="FF1A1F26"/>
        <rFont val="Noto Sans CJK SC"/>
        <family val="2"/>
      </rPr>
      <t xml:space="preserve">工單 </t>
    </r>
    <r>
      <rPr>
        <sz val="9"/>
        <color rgb="FF1A1F26"/>
        <rFont val="Arial"/>
        <family val="0"/>
        <charset val="1"/>
      </rPr>
      <t xml:space="preserve">CRUD </t>
    </r>
    <r>
      <rPr>
        <sz val="9"/>
        <color rgb="FF1A1F26"/>
        <rFont val="Noto Sans CJK SC"/>
        <family val="2"/>
      </rPr>
      <t xml:space="preserve">與查詢 </t>
    </r>
    <r>
      <rPr>
        <sz val="9"/>
        <color rgb="FF1A1F26"/>
        <rFont val="Arial"/>
        <family val="0"/>
        <charset val="1"/>
      </rPr>
      <t xml:space="preserve">API</t>
    </r>
  </si>
  <si>
    <r>
      <rPr>
        <sz val="9"/>
        <color rgb="FF1A1F26"/>
        <rFont val="Arial"/>
        <family val="0"/>
        <charset val="1"/>
      </rPr>
      <t xml:space="preserve">15 </t>
    </r>
    <r>
      <rPr>
        <sz val="9"/>
        <color rgb="FF1A1F26"/>
        <rFont val="Noto Sans CJK SC"/>
        <family val="2"/>
      </rPr>
      <t xml:space="preserve">種過濾維度、</t>
    </r>
    <r>
      <rPr>
        <sz val="9"/>
        <color rgb="FF1A1F26"/>
        <rFont val="Arial"/>
        <family val="0"/>
        <charset val="1"/>
      </rPr>
      <t xml:space="preserve">mine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status_category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include</t>
    </r>
  </si>
  <si>
    <t xml:space="preserve">5.2;2.9</t>
  </si>
  <si>
    <r>
      <rPr>
        <sz val="9"/>
        <color rgb="FF1A1F26"/>
        <rFont val="Arial"/>
        <family val="0"/>
        <charset val="1"/>
      </rPr>
      <t xml:space="preserve">10 </t>
    </r>
    <r>
      <rPr>
        <sz val="9"/>
        <color rgb="FF1A1F26"/>
        <rFont val="Noto Sans CJK SC"/>
        <family val="2"/>
      </rPr>
      <t xml:space="preserve">萬工單列表查詢 </t>
    </r>
    <r>
      <rPr>
        <sz val="9"/>
        <color rgb="FF1A1F26"/>
        <rFont val="Arial"/>
        <family val="0"/>
        <charset val="1"/>
      </rPr>
      <t xml:space="preserve">P95 &lt; 300 ms</t>
    </r>
  </si>
  <si>
    <t xml:space="preserve">5.4</t>
  </si>
  <si>
    <r>
      <rPr>
        <sz val="9"/>
        <color rgb="FF1A1F26"/>
        <rFont val="Arial"/>
        <family val="0"/>
        <charset val="1"/>
      </rPr>
      <t xml:space="preserve">available-actions </t>
    </r>
    <r>
      <rPr>
        <sz val="9"/>
        <color rgb="FF1A1F26"/>
        <rFont val="Noto Sans CJK SC"/>
        <family val="2"/>
      </rPr>
      <t xml:space="preserve">端點</t>
    </r>
  </si>
  <si>
    <t xml:space="preserve">依當前狀態與使用者權限回傳可執行動作</t>
  </si>
  <si>
    <t xml:space="preserve">前端不需複製任何狀態機邏輯</t>
  </si>
  <si>
    <t xml:space="preserve">5.5</t>
  </si>
  <si>
    <t xml:space="preserve">檢查項、留言、工時、備品</t>
  </si>
  <si>
    <t xml:space="preserve">任務回填、可見性控制、庫存扣減</t>
  </si>
  <si>
    <t xml:space="preserve">備品扣減不會產生負庫存</t>
  </si>
  <si>
    <t xml:space="preserve">5.6</t>
  </si>
  <si>
    <t xml:space="preserve">團隊、班表與派工規則</t>
  </si>
  <si>
    <r>
      <rPr>
        <sz val="9"/>
        <color rgb="FF1A1F26"/>
        <rFont val="Arial"/>
        <family val="0"/>
        <charset val="1"/>
      </rPr>
      <t xml:space="preserve">LEAST_LOADED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ROUND_ROBIN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SKILL_MATCH</t>
    </r>
    <r>
      <rPr>
        <sz val="9"/>
        <color rgb="FF1A1F26"/>
        <rFont val="Noto Sans CJK SC"/>
        <family val="2"/>
      </rPr>
      <t xml:space="preserve">；</t>
    </r>
    <r>
      <rPr>
        <sz val="9"/>
        <color rgb="FF1A1F26"/>
        <rFont val="Arial"/>
        <family val="0"/>
        <charset val="1"/>
      </rPr>
      <t xml:space="preserve">AUTO_ASSIGN</t>
    </r>
  </si>
  <si>
    <t xml:space="preserve">自動派工避開休假與已滿載人員</t>
  </si>
  <si>
    <t xml:space="preserve">5.7</t>
  </si>
  <si>
    <t xml:space="preserve">SLA</t>
  </si>
  <si>
    <r>
      <rPr>
        <sz val="9"/>
        <color rgb="FF1A1F26"/>
        <rFont val="Arial"/>
        <family val="0"/>
        <charset val="1"/>
      </rPr>
      <t xml:space="preserve">SLA </t>
    </r>
    <r>
      <rPr>
        <sz val="9"/>
        <color rgb="FF1A1F26"/>
        <rFont val="Noto Sans CJK SC"/>
        <family val="2"/>
      </rPr>
      <t xml:space="preserve">計算引擎</t>
    </r>
  </si>
  <si>
    <r>
      <rPr>
        <sz val="9"/>
        <color rgb="FF1A1F26"/>
        <rFont val="Noto Sans CJK SC"/>
        <family val="2"/>
      </rPr>
      <t xml:space="preserve">營業時間扣除、</t>
    </r>
    <r>
      <rPr>
        <sz val="9"/>
        <color rgb="FF1A1F26"/>
        <rFont val="Arial"/>
        <family val="0"/>
        <charset val="1"/>
      </rPr>
      <t xml:space="preserve">response/resolution </t>
    </r>
    <r>
      <rPr>
        <sz val="9"/>
        <color rgb="FF1A1F26"/>
        <rFont val="Noto Sans CJK SC"/>
        <family val="2"/>
      </rPr>
      <t xml:space="preserve">到期時間</t>
    </r>
  </si>
  <si>
    <t xml:space="preserve">跨週末的案件到期時間正確</t>
  </si>
  <si>
    <t xml:space="preserve">5.8</t>
  </si>
  <si>
    <r>
      <rPr>
        <sz val="9"/>
        <color rgb="FF1A1F26"/>
        <rFont val="Arial"/>
        <family val="0"/>
        <charset val="1"/>
      </rPr>
      <t xml:space="preserve">sla-watchdog </t>
    </r>
    <r>
      <rPr>
        <sz val="9"/>
        <color rgb="FF1A1F26"/>
        <rFont val="Noto Sans CJK SC"/>
        <family val="2"/>
      </rPr>
      <t xml:space="preserve">作業</t>
    </r>
  </si>
  <si>
    <r>
      <rPr>
        <sz val="9"/>
        <color rgb="FF1A1F26"/>
        <rFont val="Noto Sans CJK SC"/>
        <family val="2"/>
      </rPr>
      <t xml:space="preserve">百分比門檻升級通知、逾期 </t>
    </r>
    <r>
      <rPr>
        <sz val="9"/>
        <color rgb="FF1A1F26"/>
        <rFont val="Arial"/>
        <family val="0"/>
        <charset val="1"/>
      </rPr>
      <t xml:space="preserve">BREACH_SLA </t>
    </r>
    <r>
      <rPr>
        <sz val="9"/>
        <color rgb="FF1A1F26"/>
        <rFont val="Noto Sans CJK SC"/>
        <family val="2"/>
      </rPr>
      <t xml:space="preserve">轉移</t>
    </r>
  </si>
  <si>
    <t xml:space="preserve">5.7;2.7</t>
  </si>
  <si>
    <r>
      <rPr>
        <sz val="9"/>
        <color rgb="FF1A1F26"/>
        <rFont val="Noto Sans CJK SC"/>
        <family val="2"/>
      </rPr>
      <t xml:space="preserve">逾期案件 </t>
    </r>
    <r>
      <rPr>
        <sz val="9"/>
        <color rgb="FF1A1F26"/>
        <rFont val="Arial"/>
        <family val="0"/>
        <charset val="1"/>
      </rPr>
      <t xml:space="preserve">1 </t>
    </r>
    <r>
      <rPr>
        <sz val="9"/>
        <color rgb="FF1A1F26"/>
        <rFont val="Noto Sans CJK SC"/>
        <family val="2"/>
      </rPr>
      <t xml:space="preserve">分鐘內被標記</t>
    </r>
  </si>
  <si>
    <t xml:space="preserve">5.9</t>
  </si>
  <si>
    <t xml:space="preserve">通知</t>
  </si>
  <si>
    <t xml:space="preserve">通知範本與派送器</t>
  </si>
  <si>
    <t xml:space="preserve">多語系、多通道、指數退避重試</t>
  </si>
  <si>
    <t xml:space="preserve">送信失敗會重試且不重複送出</t>
  </si>
  <si>
    <t xml:space="preserve">5.10</t>
  </si>
  <si>
    <t xml:space="preserve">附件</t>
  </si>
  <si>
    <t xml:space="preserve">附件上傳與預簽網址</t>
  </si>
  <si>
    <r>
      <rPr>
        <sz val="9"/>
        <color rgb="FF1A1F26"/>
        <rFont val="Arial"/>
        <family val="0"/>
        <charset val="1"/>
      </rPr>
      <t xml:space="preserve">presign </t>
    </r>
    <r>
      <rPr>
        <sz val="9"/>
        <color rgb="FF1A1F26"/>
        <rFont val="Noto Sans CJK SC"/>
        <family val="2"/>
      </rPr>
      <t xml:space="preserve">直傳、註冊、下載授權</t>
    </r>
  </si>
  <si>
    <r>
      <rPr>
        <sz val="9"/>
        <color rgb="FF1A1F26"/>
        <rFont val="Noto Sans CJK SC"/>
        <family val="2"/>
      </rPr>
      <t xml:space="preserve">檔案不經過 </t>
    </r>
    <r>
      <rPr>
        <sz val="9"/>
        <color rgb="FF1A1F26"/>
        <rFont val="Arial"/>
        <family val="0"/>
        <charset val="1"/>
      </rPr>
      <t xml:space="preserve">API </t>
    </r>
    <r>
      <rPr>
        <sz val="9"/>
        <color rgb="FF1A1F26"/>
        <rFont val="Noto Sans CJK SC"/>
        <family val="2"/>
      </rPr>
      <t xml:space="preserve">服務</t>
    </r>
  </si>
  <si>
    <t xml:space="preserve">5.11</t>
  </si>
  <si>
    <r>
      <rPr>
        <sz val="9"/>
        <color rgb="FF1A1F26"/>
        <rFont val="Noto Sans CJK SC"/>
        <family val="2"/>
      </rPr>
      <t xml:space="preserve">工單與 </t>
    </r>
    <r>
      <rPr>
        <sz val="9"/>
        <color rgb="FF1A1F26"/>
        <rFont val="Arial"/>
        <family val="0"/>
        <charset val="1"/>
      </rPr>
      <t xml:space="preserve">SLA </t>
    </r>
    <r>
      <rPr>
        <sz val="9"/>
        <color rgb="FF1A1F26"/>
        <rFont val="Noto Sans CJK SC"/>
        <family val="2"/>
      </rPr>
      <t xml:space="preserve">測試</t>
    </r>
  </si>
  <si>
    <r>
      <rPr>
        <sz val="9"/>
        <color rgb="FF1A1F26"/>
        <rFont val="Noto Sans CJK SC"/>
        <family val="2"/>
      </rPr>
      <t xml:space="preserve">狀態機全路徑、</t>
    </r>
    <r>
      <rPr>
        <sz val="9"/>
        <color rgb="FF1A1F26"/>
        <rFont val="Arial"/>
        <family val="0"/>
        <charset val="1"/>
      </rPr>
      <t xml:space="preserve">SLA </t>
    </r>
    <r>
      <rPr>
        <sz val="9"/>
        <color rgb="FF1A1F26"/>
        <rFont val="Noto Sans CJK SC"/>
        <family val="2"/>
      </rPr>
      <t xml:space="preserve">邊界、派工規則</t>
    </r>
  </si>
  <si>
    <r>
      <rPr>
        <sz val="9"/>
        <color rgb="FF1A1F26"/>
        <rFont val="Noto Sans CJK SC"/>
        <family val="2"/>
      </rPr>
      <t xml:space="preserve">狀態機覆蓋率 </t>
    </r>
    <r>
      <rPr>
        <sz val="9"/>
        <color rgb="FF1A1F26"/>
        <rFont val="Arial"/>
        <family val="0"/>
        <charset val="1"/>
      </rPr>
      <t xml:space="preserve">100%</t>
    </r>
  </si>
  <si>
    <t xml:space="preserve">6.1</t>
  </si>
  <si>
    <t xml:space="preserve">S5</t>
  </si>
  <si>
    <r>
      <rPr>
        <sz val="9"/>
        <color rgb="FF1A1F26"/>
        <rFont val="Arial"/>
        <family val="0"/>
        <charset val="1"/>
      </rPr>
      <t xml:space="preserve">Soft FM </t>
    </r>
    <r>
      <rPr>
        <sz val="9"/>
        <color rgb="FF1A1F26"/>
        <rFont val="Noto Sans CJK SC"/>
        <family val="2"/>
      </rPr>
      <t xml:space="preserve">與預防性維護</t>
    </r>
  </si>
  <si>
    <t xml:space="preserve">Soft FM</t>
  </si>
  <si>
    <r>
      <rPr>
        <sz val="9"/>
        <color rgb="FF1A1F26"/>
        <rFont val="Noto Sans CJK SC"/>
        <family val="2"/>
      </rPr>
      <t xml:space="preserve">服務目錄 </t>
    </r>
    <r>
      <rPr>
        <sz val="9"/>
        <color rgb="FF1A1F26"/>
        <rFont val="Arial"/>
        <family val="0"/>
        <charset val="1"/>
      </rPr>
      <t xml:space="preserve">API</t>
    </r>
  </si>
  <si>
    <r>
      <rPr>
        <sz val="9"/>
        <color rgb="FF1A1F26"/>
        <rFont val="Arial"/>
        <family val="0"/>
        <charset val="1"/>
      </rPr>
      <t xml:space="preserve">form_schema </t>
    </r>
    <r>
      <rPr>
        <sz val="9"/>
        <color rgb="FF1A1F26"/>
        <rFont val="Noto Sans CJK SC"/>
        <family val="2"/>
      </rPr>
      <t xml:space="preserve">提供與維護；</t>
    </r>
    <r>
      <rPr>
        <sz val="9"/>
        <color rgb="FF1A1F26"/>
        <rFont val="Arial"/>
        <family val="0"/>
        <charset val="1"/>
      </rPr>
      <t xml:space="preserve">availability </t>
    </r>
    <r>
      <rPr>
        <sz val="9"/>
        <color rgb="FF1A1F26"/>
        <rFont val="Noto Sans CJK SC"/>
        <family val="2"/>
      </rPr>
      <t xml:space="preserve">判定</t>
    </r>
  </si>
  <si>
    <r>
      <rPr>
        <sz val="9"/>
        <color rgb="FF1A1F26"/>
        <rFont val="Noto Sans CJK SC"/>
        <family val="2"/>
      </rPr>
      <t xml:space="preserve">前端可用同一份 </t>
    </r>
    <r>
      <rPr>
        <sz val="9"/>
        <color rgb="FF1A1F26"/>
        <rFont val="Arial"/>
        <family val="0"/>
        <charset val="1"/>
      </rPr>
      <t xml:space="preserve">schema </t>
    </r>
    <r>
      <rPr>
        <sz val="9"/>
        <color rgb="FF1A1F26"/>
        <rFont val="Noto Sans CJK SC"/>
        <family val="2"/>
      </rPr>
      <t xml:space="preserve">渲染與預驗</t>
    </r>
  </si>
  <si>
    <t xml:space="preserve">6.2</t>
  </si>
  <si>
    <t xml:space="preserve">服務請求建立流程</t>
  </si>
  <si>
    <r>
      <rPr>
        <sz val="9"/>
        <color rgb="FF1A1F26"/>
        <rFont val="Arial"/>
        <family val="0"/>
        <charset val="1"/>
      </rPr>
      <t xml:space="preserve">form_schema </t>
    </r>
    <r>
      <rPr>
        <sz val="9"/>
        <color rgb="FF1A1F26"/>
        <rFont val="Noto Sans CJK SC"/>
        <family val="2"/>
      </rPr>
      <t xml:space="preserve">動態驗證 → 建立 </t>
    </r>
    <r>
      <rPr>
        <sz val="9"/>
        <color rgb="FF1A1F26"/>
        <rFont val="Arial"/>
        <family val="0"/>
        <charset val="1"/>
      </rPr>
      <t xml:space="preserve">SERVICE </t>
    </r>
    <r>
      <rPr>
        <sz val="9"/>
        <color rgb="FF1A1F26"/>
        <rFont val="Noto Sans CJK SC"/>
        <family val="2"/>
      </rPr>
      <t xml:space="preserve">工單</t>
    </r>
  </si>
  <si>
    <r>
      <rPr>
        <sz val="9"/>
        <color rgb="FF1A1F26"/>
        <rFont val="Noto Sans CJK SC"/>
        <family val="2"/>
      </rPr>
      <t xml:space="preserve">違規欄位回 </t>
    </r>
    <r>
      <rPr>
        <sz val="9"/>
        <color rgb="FF1A1F26"/>
        <rFont val="Arial"/>
        <family val="0"/>
        <charset val="1"/>
      </rPr>
      <t xml:space="preserve">422 </t>
    </r>
    <r>
      <rPr>
        <sz val="9"/>
        <color rgb="FF1A1F26"/>
        <rFont val="Noto Sans CJK SC"/>
        <family val="2"/>
      </rPr>
      <t xml:space="preserve">並指出 </t>
    </r>
    <r>
      <rPr>
        <sz val="9"/>
        <color rgb="FF1A1F26"/>
        <rFont val="Arial"/>
        <family val="0"/>
        <charset val="1"/>
      </rPr>
      <t xml:space="preserve">pointer</t>
    </r>
  </si>
  <si>
    <t xml:space="preserve">6.3</t>
  </si>
  <si>
    <t xml:space="preserve">滿意度與結案</t>
  </si>
  <si>
    <r>
      <rPr>
        <sz val="9"/>
        <color rgb="FF1A1F26"/>
        <rFont val="Noto Sans CJK SC"/>
        <family val="2"/>
      </rPr>
      <t xml:space="preserve">評價收集、</t>
    </r>
    <r>
      <rPr>
        <sz val="9"/>
        <color rgb="FF1A1F26"/>
        <rFont val="Arial"/>
        <family val="0"/>
        <charset val="1"/>
      </rPr>
      <t xml:space="preserve">close_code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root_cause</t>
    </r>
  </si>
  <si>
    <t xml:space="preserve">僅申請人可評價</t>
  </si>
  <si>
    <t xml:space="preserve">6.4</t>
  </si>
  <si>
    <r>
      <rPr>
        <sz val="9"/>
        <color rgb="FF1A1F26"/>
        <rFont val="Noto Sans CJK SC"/>
        <family val="2"/>
      </rPr>
      <t xml:space="preserve">保養範本與計畫 </t>
    </r>
    <r>
      <rPr>
        <sz val="9"/>
        <color rgb="FF1A1F26"/>
        <rFont val="Arial"/>
        <family val="0"/>
        <charset val="1"/>
      </rPr>
      <t xml:space="preserve">API</t>
    </r>
  </si>
  <si>
    <r>
      <rPr>
        <sz val="9"/>
        <color rgb="FF1A1F26"/>
        <rFont val="Noto Sans CJK SC"/>
        <family val="2"/>
      </rPr>
      <t xml:space="preserve">三種目標互斥、</t>
    </r>
    <r>
      <rPr>
        <sz val="9"/>
        <color rgb="FF1A1F26"/>
        <rFont val="Arial"/>
        <family val="0"/>
        <charset val="1"/>
      </rPr>
      <t xml:space="preserve">RRULE </t>
    </r>
    <r>
      <rPr>
        <sz val="9"/>
        <color rgb="FF1A1F26"/>
        <rFont val="Noto Sans CJK SC"/>
        <family val="2"/>
      </rPr>
      <t xml:space="preserve">與計量門檻設定</t>
    </r>
  </si>
  <si>
    <t xml:space="preserve">5.3;4.9</t>
  </si>
  <si>
    <r>
      <rPr>
        <sz val="9"/>
        <color rgb="FF1A1F26"/>
        <rFont val="Noto Sans CJK SC"/>
        <family val="2"/>
      </rPr>
      <t xml:space="preserve">違反目標互斥的請求回 </t>
    </r>
    <r>
      <rPr>
        <sz val="9"/>
        <color rgb="FF1A1F26"/>
        <rFont val="Arial"/>
        <family val="0"/>
        <charset val="1"/>
      </rPr>
      <t xml:space="preserve">422</t>
    </r>
  </si>
  <si>
    <t xml:space="preserve">6.5</t>
  </si>
  <si>
    <t xml:space="preserve">排程試算端點</t>
  </si>
  <si>
    <r>
      <rPr>
        <sz val="9"/>
        <color rgb="FF1A1F26"/>
        <rFont val="Arial"/>
        <family val="0"/>
        <charset val="1"/>
      </rPr>
      <t xml:space="preserve">preview-schedule</t>
    </r>
    <r>
      <rPr>
        <sz val="9"/>
        <color rgb="FF1A1F26"/>
        <rFont val="Noto Sans CJK SC"/>
        <family val="2"/>
      </rPr>
      <t xml:space="preserve">（不寫入）</t>
    </r>
  </si>
  <si>
    <r>
      <rPr>
        <sz val="9"/>
        <color rgb="FF1A1F26"/>
        <rFont val="Arial"/>
        <family val="0"/>
        <charset val="1"/>
      </rPr>
      <t xml:space="preserve">RRULE </t>
    </r>
    <r>
      <rPr>
        <sz val="9"/>
        <color rgb="FF1A1F26"/>
        <rFont val="Noto Sans CJK SC"/>
        <family val="2"/>
      </rPr>
      <t xml:space="preserve">展開結果與試算一致</t>
    </r>
  </si>
  <si>
    <t xml:space="preserve">6.6</t>
  </si>
  <si>
    <r>
      <rPr>
        <sz val="9"/>
        <color rgb="FF1A1F26"/>
        <rFont val="Arial"/>
        <family val="0"/>
        <charset val="1"/>
      </rPr>
      <t xml:space="preserve">pm-generator </t>
    </r>
    <r>
      <rPr>
        <sz val="9"/>
        <color rgb="FF1A1F26"/>
        <rFont val="Noto Sans CJK SC"/>
        <family val="2"/>
      </rPr>
      <t xml:space="preserve">作業</t>
    </r>
  </si>
  <si>
    <r>
      <rPr>
        <sz val="9"/>
        <color rgb="FF1A1F26"/>
        <rFont val="Noto Sans CJK SC"/>
        <family val="2"/>
      </rPr>
      <t xml:space="preserve">行事曆與計量觸發、</t>
    </r>
    <r>
      <rPr>
        <sz val="9"/>
        <color rgb="FF1A1F26"/>
        <rFont val="Arial"/>
        <family val="0"/>
        <charset val="1"/>
      </rPr>
      <t xml:space="preserve">lead days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occurrences </t>
    </r>
    <r>
      <rPr>
        <sz val="9"/>
        <color rgb="FF1A1F26"/>
        <rFont val="Noto Sans CJK SC"/>
        <family val="2"/>
      </rPr>
      <t xml:space="preserve">寫入</t>
    </r>
  </si>
  <si>
    <t xml:space="preserve">6.5;2.7</t>
  </si>
  <si>
    <t xml:space="preserve">重跑不會重複產單（唯一索引保護）</t>
  </si>
  <si>
    <t xml:space="preserve">6.7</t>
  </si>
  <si>
    <r>
      <rPr>
        <sz val="9"/>
        <color rgb="FF1A1F26"/>
        <rFont val="Arial"/>
        <family val="0"/>
        <charset val="1"/>
      </rPr>
      <t xml:space="preserve">PM </t>
    </r>
    <r>
      <rPr>
        <sz val="9"/>
        <color rgb="FF1A1F26"/>
        <rFont val="Noto Sans CJK SC"/>
        <family val="2"/>
      </rPr>
      <t xml:space="preserve">合規率統計</t>
    </r>
  </si>
  <si>
    <r>
      <rPr>
        <sz val="9"/>
        <color rgb="FF1A1F26"/>
        <rFont val="Arial"/>
        <family val="0"/>
        <charset val="1"/>
      </rPr>
      <t xml:space="preserve">occurrences </t>
    </r>
    <r>
      <rPr>
        <sz val="9"/>
        <color rgb="FF1A1F26"/>
        <rFont val="Noto Sans CJK SC"/>
        <family val="2"/>
      </rPr>
      <t xml:space="preserve">準時完成率、逾期與跳過統計</t>
    </r>
  </si>
  <si>
    <t xml:space="preserve">與人工抽樣核對一致</t>
  </si>
  <si>
    <t xml:space="preserve">6.8</t>
  </si>
  <si>
    <t xml:space="preserve">備品</t>
  </si>
  <si>
    <r>
      <rPr>
        <sz val="9"/>
        <color rgb="FF1A1F26"/>
        <rFont val="Noto Sans CJK SC"/>
        <family val="2"/>
      </rPr>
      <t xml:space="preserve">備品與庫存 </t>
    </r>
    <r>
      <rPr>
        <sz val="9"/>
        <color rgb="FF1A1F26"/>
        <rFont val="Arial"/>
        <family val="0"/>
        <charset val="1"/>
      </rPr>
      <t xml:space="preserve">API</t>
    </r>
  </si>
  <si>
    <t xml:space="preserve">入庫、領用、補貨點提醒</t>
  </si>
  <si>
    <t xml:space="preserve">低於補貨點產生通知</t>
  </si>
  <si>
    <t xml:space="preserve">6.9</t>
  </si>
  <si>
    <r>
      <rPr>
        <sz val="9"/>
        <color rgb="FF1A1F26"/>
        <rFont val="Arial"/>
        <family val="0"/>
        <charset val="1"/>
      </rPr>
      <t xml:space="preserve">Soft FM </t>
    </r>
    <r>
      <rPr>
        <sz val="9"/>
        <color rgb="FF1A1F26"/>
        <rFont val="Noto Sans CJK SC"/>
        <family val="2"/>
      </rPr>
      <t xml:space="preserve">與 </t>
    </r>
    <r>
      <rPr>
        <sz val="9"/>
        <color rgb="FF1A1F26"/>
        <rFont val="Arial"/>
        <family val="0"/>
        <charset val="1"/>
      </rPr>
      <t xml:space="preserve">PM </t>
    </r>
    <r>
      <rPr>
        <sz val="9"/>
        <color rgb="FF1A1F26"/>
        <rFont val="Noto Sans CJK SC"/>
        <family val="2"/>
      </rPr>
      <t xml:space="preserve">測試</t>
    </r>
  </si>
  <si>
    <r>
      <rPr>
        <sz val="9"/>
        <color rgb="FF1A1F26"/>
        <rFont val="Noto Sans CJK SC"/>
        <family val="2"/>
      </rPr>
      <t xml:space="preserve">動態表單驗證、</t>
    </r>
    <r>
      <rPr>
        <sz val="9"/>
        <color rgb="FF1A1F26"/>
        <rFont val="Arial"/>
        <family val="0"/>
        <charset val="1"/>
      </rPr>
      <t xml:space="preserve">RRULE </t>
    </r>
    <r>
      <rPr>
        <sz val="9"/>
        <color rgb="FF1A1F26"/>
        <rFont val="Noto Sans CJK SC"/>
        <family val="2"/>
      </rPr>
      <t xml:space="preserve">邊界、計量觸發</t>
    </r>
  </si>
  <si>
    <t xml:space="preserve">6.10</t>
  </si>
  <si>
    <t xml:space="preserve">期中檢視與範圍再確認</t>
  </si>
  <si>
    <t xml:space="preserve">進度、風險、開放問題結案狀況</t>
  </si>
  <si>
    <r>
      <rPr>
        <sz val="9"/>
        <color rgb="FF1A1F26"/>
        <rFont val="Noto Sans CJK SC"/>
        <family val="2"/>
      </rPr>
      <t xml:space="preserve">里程碑 </t>
    </r>
    <r>
      <rPr>
        <sz val="9"/>
        <color rgb="FF1A1F26"/>
        <rFont val="Arial"/>
        <family val="0"/>
        <charset val="1"/>
      </rPr>
      <t xml:space="preserve">M5 </t>
    </r>
    <r>
      <rPr>
        <sz val="9"/>
        <color rgb="FF1A1F26"/>
        <rFont val="Noto Sans CJK SC"/>
        <family val="2"/>
      </rPr>
      <t xml:space="preserve">通過</t>
    </r>
  </si>
  <si>
    <t xml:space="preserve">7.1</t>
  </si>
  <si>
    <t xml:space="preserve">S6</t>
  </si>
  <si>
    <t xml:space="preserve">預約與附加服務連動</t>
  </si>
  <si>
    <t xml:space="preserve">預約</t>
  </si>
  <si>
    <r>
      <rPr>
        <sz val="9"/>
        <color rgb="FF1A1F26"/>
        <rFont val="Noto Sans CJK SC"/>
        <family val="2"/>
      </rPr>
      <t xml:space="preserve">套用 </t>
    </r>
    <r>
      <rPr>
        <sz val="9"/>
        <color rgb="FF1A1F26"/>
        <rFont val="Arial"/>
        <family val="0"/>
        <charset val="1"/>
      </rPr>
      <t xml:space="preserve">005_reservations </t>
    </r>
    <r>
      <rPr>
        <sz val="9"/>
        <color rgb="FF1A1F26"/>
        <rFont val="Noto Sans CJK SC"/>
        <family val="2"/>
      </rPr>
      <t xml:space="preserve">並驗證</t>
    </r>
  </si>
  <si>
    <r>
      <rPr>
        <sz val="9"/>
        <color rgb="FF1A1F26"/>
        <rFont val="Noto Sans CJK SC"/>
        <family val="2"/>
      </rPr>
      <t xml:space="preserve">排他約束、</t>
    </r>
    <r>
      <rPr>
        <sz val="9"/>
        <color rgb="FF1A1F26"/>
        <rFont val="Arial"/>
        <family val="0"/>
        <charset val="1"/>
      </rPr>
      <t xml:space="preserve">hold </t>
    </r>
    <r>
      <rPr>
        <sz val="9"/>
        <color rgb="FF1A1F26"/>
        <rFont val="Noto Sans CJK SC"/>
        <family val="2"/>
      </rPr>
      <t xml:space="preserve">約束、</t>
    </r>
    <r>
      <rPr>
        <sz val="9"/>
        <color rgb="FF1A1F26"/>
        <rFont val="Arial"/>
        <family val="0"/>
        <charset val="1"/>
      </rPr>
      <t xml:space="preserve">availability </t>
    </r>
    <r>
      <rPr>
        <sz val="9"/>
        <color rgb="FF1A1F26"/>
        <rFont val="Noto Sans CJK SC"/>
        <family val="2"/>
      </rPr>
      <t xml:space="preserve">函式</t>
    </r>
  </si>
  <si>
    <r>
      <rPr>
        <sz val="9"/>
        <color rgb="FF1A1F26"/>
        <rFont val="Arial"/>
        <family val="0"/>
        <charset val="1"/>
      </rPr>
      <t xml:space="preserve">T2 </t>
    </r>
    <r>
      <rPr>
        <sz val="9"/>
        <color rgb="FF1A1F26"/>
        <rFont val="Noto Sans CJK SC"/>
        <family val="2"/>
      </rPr>
      <t xml:space="preserve">防重複預約斷言通過</t>
    </r>
  </si>
  <si>
    <t xml:space="preserve">7.2</t>
  </si>
  <si>
    <r>
      <rPr>
        <sz val="9"/>
        <color rgb="FF1A1F26"/>
        <rFont val="Noto Sans CJK SC"/>
        <family val="2"/>
      </rPr>
      <t xml:space="preserve">可預約資源設定 </t>
    </r>
    <r>
      <rPr>
        <sz val="9"/>
        <color rgb="FF1A1F26"/>
        <rFont val="Arial"/>
        <family val="0"/>
        <charset val="1"/>
      </rPr>
      <t xml:space="preserve">API</t>
    </r>
  </si>
  <si>
    <r>
      <rPr>
        <sz val="9"/>
        <color rgb="FF1A1F26"/>
        <rFont val="Noto Sans CJK SC"/>
        <family val="2"/>
      </rPr>
      <t xml:space="preserve">時段粒度、緩衝、</t>
    </r>
    <r>
      <rPr>
        <sz val="9"/>
        <color rgb="FF1A1F26"/>
        <rFont val="Arial"/>
        <family val="0"/>
        <charset val="1"/>
      </rPr>
      <t xml:space="preserve">capacity</t>
    </r>
    <r>
      <rPr>
        <sz val="9"/>
        <color rgb="FF1A1F26"/>
        <rFont val="Noto Sans CJK SC"/>
        <family val="2"/>
      </rPr>
      <t xml:space="preserve">、報到與自動釋放規則</t>
    </r>
  </si>
  <si>
    <t xml:space="preserve">7.1;4.2</t>
  </si>
  <si>
    <r>
      <rPr>
        <sz val="9"/>
        <color rgb="FF1A1F26"/>
        <rFont val="Noto Sans CJK SC"/>
        <family val="2"/>
      </rPr>
      <t xml:space="preserve">共享池資源（</t>
    </r>
    <r>
      <rPr>
        <sz val="9"/>
        <color rgb="FF1A1F26"/>
        <rFont val="Arial"/>
        <family val="0"/>
        <charset val="1"/>
      </rPr>
      <t xml:space="preserve">capacity&gt;1</t>
    </r>
    <r>
      <rPr>
        <sz val="9"/>
        <color rgb="FF1A1F26"/>
        <rFont val="Noto Sans CJK SC"/>
        <family val="2"/>
      </rPr>
      <t xml:space="preserve">）行為正確</t>
    </r>
  </si>
  <si>
    <t xml:space="preserve">7.3</t>
  </si>
  <si>
    <r>
      <rPr>
        <sz val="9"/>
        <color rgb="FF1A1F26"/>
        <rFont val="Noto Sans CJK SC"/>
        <family val="2"/>
      </rPr>
      <t xml:space="preserve">可用時段查詢 </t>
    </r>
    <r>
      <rPr>
        <sz val="9"/>
        <color rgb="FF1A1F26"/>
        <rFont val="Arial"/>
        <family val="0"/>
        <charset val="1"/>
      </rPr>
      <t xml:space="preserve">API</t>
    </r>
  </si>
  <si>
    <r>
      <rPr>
        <sz val="9"/>
        <color rgb="FF1A1F26"/>
        <rFont val="Noto Sans CJK SC"/>
        <family val="2"/>
      </rPr>
      <t xml:space="preserve">多資源、忙碌區塊、</t>
    </r>
    <r>
      <rPr>
        <sz val="9"/>
        <color rgb="FF1A1F26"/>
        <rFont val="Arial"/>
        <family val="0"/>
        <charset val="1"/>
      </rPr>
      <t xml:space="preserve">free slots</t>
    </r>
    <r>
      <rPr>
        <sz val="9"/>
        <color rgb="FF1A1F26"/>
        <rFont val="Noto Sans CJK SC"/>
        <family val="2"/>
      </rPr>
      <t xml:space="preserve">、封鎖與 </t>
    </r>
    <r>
      <rPr>
        <sz val="9"/>
        <color rgb="FF1A1F26"/>
        <rFont val="Arial"/>
        <family val="0"/>
        <charset val="1"/>
      </rPr>
      <t xml:space="preserve">hold </t>
    </r>
    <r>
      <rPr>
        <sz val="9"/>
        <color rgb="FF1A1F26"/>
        <rFont val="Noto Sans CJK SC"/>
        <family val="2"/>
      </rPr>
      <t xml:space="preserve">納入</t>
    </r>
  </si>
  <si>
    <t xml:space="preserve">與排他約束結果完全一致（無假可用）</t>
  </si>
  <si>
    <t xml:space="preserve">7.4</t>
  </si>
  <si>
    <r>
      <rPr>
        <sz val="9"/>
        <color rgb="FF1A1F26"/>
        <rFont val="Noto Sans CJK SC"/>
        <family val="2"/>
      </rPr>
      <t xml:space="preserve">兩階段 </t>
    </r>
    <r>
      <rPr>
        <sz val="9"/>
        <color rgb="FF1A1F26"/>
        <rFont val="Arial"/>
        <family val="0"/>
        <charset val="1"/>
      </rPr>
      <t xml:space="preserve">hold API</t>
    </r>
  </si>
  <si>
    <t xml:space="preserve">建立、消耗、釋放、過期</t>
  </si>
  <si>
    <r>
      <rPr>
        <sz val="9"/>
        <color rgb="FF1A1F26"/>
        <rFont val="Arial"/>
        <family val="0"/>
        <charset val="1"/>
      </rPr>
      <t xml:space="preserve">hold </t>
    </r>
    <r>
      <rPr>
        <sz val="9"/>
        <color rgb="FF1A1F26"/>
        <rFont val="Noto Sans CJK SC"/>
        <family val="2"/>
      </rPr>
      <t xml:space="preserve">期間他人無法預約同時段</t>
    </r>
  </si>
  <si>
    <t xml:space="preserve">7.5</t>
  </si>
  <si>
    <r>
      <rPr>
        <sz val="9"/>
        <color rgb="FF1A1F26"/>
        <rFont val="Noto Sans CJK SC"/>
        <family val="2"/>
      </rPr>
      <t xml:space="preserve">預約建立與變更 </t>
    </r>
    <r>
      <rPr>
        <sz val="9"/>
        <color rgb="FF1A1F26"/>
        <rFont val="Arial"/>
        <family val="0"/>
        <charset val="1"/>
      </rPr>
      <t xml:space="preserve">API</t>
    </r>
  </si>
  <si>
    <r>
      <rPr>
        <sz val="9"/>
        <color rgb="FF1A1F26"/>
        <rFont val="Noto Sans CJK SC"/>
        <family val="2"/>
      </rPr>
      <t xml:space="preserve">單一交易：驗證 → 消耗 </t>
    </r>
    <r>
      <rPr>
        <sz val="9"/>
        <color rgb="FF1A1F26"/>
        <rFont val="Arial"/>
        <family val="0"/>
        <charset val="1"/>
      </rPr>
      <t xml:space="preserve">hold → </t>
    </r>
    <r>
      <rPr>
        <sz val="9"/>
        <color rgb="FF1A1F26"/>
        <rFont val="Noto Sans CJK SC"/>
        <family val="2"/>
      </rPr>
      <t xml:space="preserve">寫入 → 附加服務</t>
    </r>
  </si>
  <si>
    <t xml:space="preserve">7.3;7.4</t>
  </si>
  <si>
    <t xml:space="preserve">併發搶訂測試恰好一筆成功</t>
  </si>
  <si>
    <t xml:space="preserve">7.6</t>
  </si>
  <si>
    <t xml:space="preserve">週期預約</t>
  </si>
  <si>
    <r>
      <rPr>
        <sz val="9"/>
        <color rgb="FF1A1F26"/>
        <rFont val="Arial"/>
        <family val="0"/>
        <charset val="1"/>
      </rPr>
      <t xml:space="preserve">RRULE </t>
    </r>
    <r>
      <rPr>
        <sz val="9"/>
        <color rgb="FF1A1F26"/>
        <rFont val="Noto Sans CJK SC"/>
        <family val="2"/>
      </rPr>
      <t xml:space="preserve">展開、例外處理、系列取消</t>
    </r>
  </si>
  <si>
    <t xml:space="preserve">部分時段衝突時回報清單而非全部失敗</t>
  </si>
  <si>
    <t xml:space="preserve">7.7</t>
  </si>
  <si>
    <r>
      <rPr>
        <sz val="9"/>
        <color rgb="FF1A1F26"/>
        <rFont val="Noto Sans CJK SC"/>
        <family val="2"/>
      </rPr>
      <t xml:space="preserve">附加服務 </t>
    </r>
    <r>
      <rPr>
        <sz val="9"/>
        <color rgb="FF1A1F26"/>
        <rFont val="Arial"/>
        <family val="0"/>
        <charset val="1"/>
      </rPr>
      <t xml:space="preserve">fan-out worker</t>
    </r>
  </si>
  <si>
    <r>
      <rPr>
        <sz val="9"/>
        <color rgb="FF1A1F26"/>
        <rFont val="Arial"/>
        <family val="0"/>
        <charset val="1"/>
      </rPr>
      <t xml:space="preserve">reservation.confirmed → </t>
    </r>
    <r>
      <rPr>
        <sz val="9"/>
        <color rgb="FF1A1F26"/>
        <rFont val="Noto Sans CJK SC"/>
        <family val="2"/>
      </rPr>
      <t xml:space="preserve">建立服務工單並回填</t>
    </r>
  </si>
  <si>
    <t xml:space="preserve">7.5;6.2;2.7</t>
  </si>
  <si>
    <t xml:space="preserve">預約成功但建單失敗時可重試補齊</t>
  </si>
  <si>
    <t xml:space="preserve">7.8</t>
  </si>
  <si>
    <r>
      <rPr>
        <sz val="9"/>
        <color rgb="FF1A1F26"/>
        <rFont val="Noto Sans CJK SC"/>
        <family val="2"/>
      </rPr>
      <t xml:space="preserve">報到與 </t>
    </r>
    <r>
      <rPr>
        <sz val="9"/>
        <color rgb="FF1A1F26"/>
        <rFont val="Arial"/>
        <family val="0"/>
        <charset val="1"/>
      </rPr>
      <t xml:space="preserve">reservation-janitor</t>
    </r>
  </si>
  <si>
    <r>
      <rPr>
        <sz val="9"/>
        <color rgb="FF1A1F26"/>
        <rFont val="Arial"/>
        <family val="0"/>
        <charset val="1"/>
      </rPr>
      <t xml:space="preserve">QR</t>
    </r>
    <r>
      <rPr>
        <sz val="9"/>
        <color rgb="FF1A1F26"/>
        <rFont val="Noto Sans CJK SC"/>
        <family val="2"/>
      </rPr>
      <t xml:space="preserve">／人工報到、逾時 </t>
    </r>
    <r>
      <rPr>
        <sz val="9"/>
        <color rgb="FF1A1F26"/>
        <rFont val="Arial"/>
        <family val="0"/>
        <charset val="1"/>
      </rPr>
      <t xml:space="preserve">NO_SHOW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hold </t>
    </r>
    <r>
      <rPr>
        <sz val="9"/>
        <color rgb="FF1A1F26"/>
        <rFont val="Noto Sans CJK SC"/>
        <family val="2"/>
      </rPr>
      <t xml:space="preserve">過期清理</t>
    </r>
  </si>
  <si>
    <t xml:space="preserve">未報到於設定時間後自動釋放</t>
  </si>
  <si>
    <t xml:space="preserve">7.9</t>
  </si>
  <si>
    <t xml:space="preserve">封鎖時段與審核流程</t>
  </si>
  <si>
    <r>
      <rPr>
        <sz val="9"/>
        <color rgb="FF1A1F26"/>
        <rFont val="Arial"/>
        <family val="0"/>
        <charset val="1"/>
      </rPr>
      <t xml:space="preserve">blackouts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requires_approval </t>
    </r>
    <r>
      <rPr>
        <sz val="9"/>
        <color rgb="FF1A1F26"/>
        <rFont val="Noto Sans CJK SC"/>
        <family val="2"/>
      </rPr>
      <t xml:space="preserve">的審核與駁回</t>
    </r>
  </si>
  <si>
    <t xml:space="preserve">封鎖時段內無法建立預約</t>
  </si>
  <si>
    <t xml:space="preserve">7.10</t>
  </si>
  <si>
    <t xml:space="preserve">預約併發壓力測試</t>
  </si>
  <si>
    <r>
      <rPr>
        <sz val="9"/>
        <color rgb="FF1A1F26"/>
        <rFont val="Arial"/>
        <family val="0"/>
        <charset val="1"/>
      </rPr>
      <t xml:space="preserve">100 </t>
    </r>
    <r>
      <rPr>
        <sz val="9"/>
        <color rgb="FF1A1F26"/>
        <rFont val="Noto Sans CJK SC"/>
        <family val="2"/>
      </rPr>
      <t xml:space="preserve">執行緒搶同一時段；</t>
    </r>
    <r>
      <rPr>
        <sz val="9"/>
        <color rgb="FF1A1F26"/>
        <rFont val="Arial"/>
        <family val="0"/>
        <charset val="1"/>
      </rPr>
      <t xml:space="preserve">hold </t>
    </r>
    <r>
      <rPr>
        <sz val="9"/>
        <color rgb="FF1A1F26"/>
        <rFont val="Noto Sans CJK SC"/>
        <family val="2"/>
      </rPr>
      <t xml:space="preserve">競爭；半開區間邊界</t>
    </r>
  </si>
  <si>
    <r>
      <rPr>
        <sz val="9"/>
        <color rgb="FF1A1F26"/>
        <rFont val="Noto Sans CJK SC"/>
        <family val="2"/>
      </rPr>
      <t xml:space="preserve">重複預約 </t>
    </r>
    <r>
      <rPr>
        <sz val="9"/>
        <color rgb="FF1A1F26"/>
        <rFont val="Arial"/>
        <family val="0"/>
        <charset val="1"/>
      </rPr>
      <t xml:space="preserve">0 </t>
    </r>
    <r>
      <rPr>
        <sz val="9"/>
        <color rgb="FF1A1F26"/>
        <rFont val="Noto Sans CJK SC"/>
        <family val="2"/>
      </rPr>
      <t xml:space="preserve">筆</t>
    </r>
  </si>
  <si>
    <t xml:space="preserve">8.1</t>
  </si>
  <si>
    <t xml:space="preserve">S7</t>
  </si>
  <si>
    <r>
      <rPr>
        <sz val="9"/>
        <color rgb="FF1A1F26"/>
        <rFont val="Arial"/>
        <family val="0"/>
        <charset val="1"/>
      </rPr>
      <t xml:space="preserve">IoT</t>
    </r>
    <r>
      <rPr>
        <sz val="9"/>
        <color rgb="FF1A1F26"/>
        <rFont val="Noto Sans CJK SC"/>
        <family val="2"/>
      </rPr>
      <t xml:space="preserve">、告警與報表</t>
    </r>
  </si>
  <si>
    <t xml:space="preserve">IoT</t>
  </si>
  <si>
    <r>
      <rPr>
        <sz val="9"/>
        <color rgb="FF1A1F26"/>
        <rFont val="Noto Sans CJK SC"/>
        <family val="2"/>
      </rPr>
      <t xml:space="preserve">套用 </t>
    </r>
    <r>
      <rPr>
        <sz val="9"/>
        <color rgb="FF1A1F26"/>
        <rFont val="Arial"/>
        <family val="0"/>
        <charset val="1"/>
      </rPr>
      <t xml:space="preserve">006 </t>
    </r>
    <r>
      <rPr>
        <sz val="9"/>
        <color rgb="FF1A1F26"/>
        <rFont val="Noto Sans CJK SC"/>
        <family val="2"/>
      </rPr>
      <t xml:space="preserve">並驗證</t>
    </r>
  </si>
  <si>
    <r>
      <rPr>
        <sz val="9"/>
        <color rgb="FF1A1F26"/>
        <rFont val="Noto Sans CJK SC"/>
        <family val="2"/>
      </rPr>
      <t xml:space="preserve">裝置、通訊點、分區、告警、</t>
    </r>
    <r>
      <rPr>
        <sz val="9"/>
        <color rgb="FF1A1F26"/>
        <rFont val="Arial"/>
        <family val="0"/>
        <charset val="1"/>
      </rPr>
      <t xml:space="preserve">ingest </t>
    </r>
    <r>
      <rPr>
        <sz val="9"/>
        <color rgb="FF1A1F26"/>
        <rFont val="Noto Sans CJK SC"/>
        <family val="2"/>
      </rPr>
      <t xml:space="preserve">與 </t>
    </r>
    <r>
      <rPr>
        <sz val="9"/>
        <color rgb="FF1A1F26"/>
        <rFont val="Arial"/>
        <family val="0"/>
        <charset val="1"/>
      </rPr>
      <t xml:space="preserve">raise_alarm </t>
    </r>
    <r>
      <rPr>
        <sz val="9"/>
        <color rgb="FF1A1F26"/>
        <rFont val="Noto Sans CJK SC"/>
        <family val="2"/>
      </rPr>
      <t xml:space="preserve">函式</t>
    </r>
  </si>
  <si>
    <r>
      <rPr>
        <sz val="9"/>
        <color rgb="FF1A1F26"/>
        <rFont val="Arial"/>
        <family val="0"/>
        <charset val="1"/>
      </rPr>
      <t xml:space="preserve">T4 </t>
    </r>
    <r>
      <rPr>
        <sz val="9"/>
        <color rgb="FF1A1F26"/>
        <rFont val="Noto Sans CJK SC"/>
        <family val="2"/>
      </rPr>
      <t xml:space="preserve">告警自動建單斷言通過</t>
    </r>
  </si>
  <si>
    <t xml:space="preserve">8.2</t>
  </si>
  <si>
    <r>
      <rPr>
        <sz val="9"/>
        <color rgb="FF1A1F26"/>
        <rFont val="Noto Sans CJK SC"/>
        <family val="2"/>
      </rPr>
      <t xml:space="preserve">裝置與通訊點 </t>
    </r>
    <r>
      <rPr>
        <sz val="9"/>
        <color rgb="FF1A1F26"/>
        <rFont val="Arial"/>
        <family val="0"/>
        <charset val="1"/>
      </rPr>
      <t xml:space="preserve">API</t>
    </r>
  </si>
  <si>
    <t xml:space="preserve">註冊、綁定設備／空間、通訊點對映計量</t>
  </si>
  <si>
    <t xml:space="preserve">8.1;4.6</t>
  </si>
  <si>
    <r>
      <rPr>
        <sz val="9"/>
        <color rgb="FF1A1F26"/>
        <rFont val="Noto Sans CJK SC"/>
        <family val="2"/>
      </rPr>
      <t xml:space="preserve">裝置可綁定至既有設備並回寫 </t>
    </r>
    <r>
      <rPr>
        <sz val="9"/>
        <color rgb="FF1A1F26"/>
        <rFont val="Arial"/>
        <family val="0"/>
        <charset val="1"/>
      </rPr>
      <t xml:space="preserve">last_telemetry_at</t>
    </r>
  </si>
  <si>
    <t xml:space="preserve">8.3</t>
  </si>
  <si>
    <r>
      <rPr>
        <sz val="9"/>
        <color rgb="FF1A1F26"/>
        <rFont val="Noto Sans CJK SC"/>
        <family val="2"/>
      </rPr>
      <t xml:space="preserve">批次遙測寫入 </t>
    </r>
    <r>
      <rPr>
        <sz val="9"/>
        <color rgb="FF1A1F26"/>
        <rFont val="Arial"/>
        <family val="0"/>
        <charset val="1"/>
      </rPr>
      <t xml:space="preserve">API</t>
    </r>
  </si>
  <si>
    <r>
      <rPr>
        <sz val="9"/>
        <color rgb="FF1A1F26"/>
        <rFont val="Arial"/>
        <family val="0"/>
        <charset val="1"/>
      </rPr>
      <t xml:space="preserve">1000 </t>
    </r>
    <r>
      <rPr>
        <sz val="9"/>
        <color rgb="FF1A1F26"/>
        <rFont val="Noto Sans CJK SC"/>
        <family val="2"/>
      </rPr>
      <t xml:space="preserve">筆上限、逐筆錯誤回報、機器帳號授權</t>
    </r>
  </si>
  <si>
    <t xml:space="preserve">8.1;3.3</t>
  </si>
  <si>
    <r>
      <rPr>
        <sz val="9"/>
        <color rgb="FF1A1F26"/>
        <rFont val="Arial"/>
        <family val="0"/>
        <charset val="1"/>
      </rPr>
      <t xml:space="preserve">2,000 </t>
    </r>
    <r>
      <rPr>
        <sz val="9"/>
        <color rgb="FF1A1F26"/>
        <rFont val="Noto Sans CJK SC"/>
        <family val="2"/>
      </rPr>
      <t xml:space="preserve">點</t>
    </r>
    <r>
      <rPr>
        <sz val="9"/>
        <color rgb="FF1A1F26"/>
        <rFont val="Arial"/>
        <family val="0"/>
        <charset val="1"/>
      </rPr>
      <t xml:space="preserve">/</t>
    </r>
    <r>
      <rPr>
        <sz val="9"/>
        <color rgb="FF1A1F26"/>
        <rFont val="Noto Sans CJK SC"/>
        <family val="2"/>
      </rPr>
      <t xml:space="preserve">秒吞吐達標</t>
    </r>
  </si>
  <si>
    <t xml:space="preserve">8.4</t>
  </si>
  <si>
    <t xml:space="preserve">告警規則引擎</t>
  </si>
  <si>
    <r>
      <rPr>
        <sz val="9"/>
        <color rgb="FF1A1F26"/>
        <rFont val="Arial"/>
        <family val="0"/>
        <charset val="1"/>
      </rPr>
      <t xml:space="preserve">THRESHOLD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RATE_OF_CHANGE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FLATLINE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DEVICE_OFFLINE</t>
    </r>
    <r>
      <rPr>
        <sz val="9"/>
        <color rgb="FF1A1F26"/>
        <rFont val="Noto Sans CJK SC"/>
        <family val="2"/>
      </rPr>
      <t xml:space="preserve">、防抖</t>
    </r>
  </si>
  <si>
    <t xml:space="preserve">持續超標僅產生一筆告警</t>
  </si>
  <si>
    <t xml:space="preserve">8.5</t>
  </si>
  <si>
    <t xml:space="preserve">自動建單與去重</t>
  </si>
  <si>
    <r>
      <rPr>
        <sz val="9"/>
        <color rgb="FF1A1F26"/>
        <rFont val="Arial"/>
        <family val="0"/>
        <charset val="1"/>
      </rPr>
      <t xml:space="preserve">auto_create_work_order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dedupe_window</t>
    </r>
  </si>
  <si>
    <t xml:space="preserve">8.4;5.3</t>
  </si>
  <si>
    <t xml:space="preserve">同設備在窗內不重複開單</t>
  </si>
  <si>
    <t xml:space="preserve">8.6</t>
  </si>
  <si>
    <t xml:space="preserve">告警補串與稽核端點</t>
  </si>
  <si>
    <r>
      <rPr>
        <sz val="9"/>
        <color rgb="FF1A1F26"/>
        <rFont val="Arial"/>
        <family val="0"/>
        <charset val="1"/>
      </rPr>
      <t xml:space="preserve">unlinked_only </t>
    </r>
    <r>
      <rPr>
        <sz val="9"/>
        <color rgb="FF1A1F26"/>
        <rFont val="Noto Sans CJK SC"/>
        <family val="2"/>
      </rPr>
      <t xml:space="preserve">查詢、單筆補建、批次 </t>
    </r>
    <r>
      <rPr>
        <sz val="9"/>
        <color rgb="FF1A1F26"/>
        <rFont val="Arial"/>
        <family val="0"/>
        <charset val="1"/>
      </rPr>
      <t xml:space="preserve">reconcile</t>
    </r>
  </si>
  <si>
    <r>
      <rPr>
        <sz val="9"/>
        <color rgb="FF1A1F26"/>
        <rFont val="Noto Sans CJK SC"/>
        <family val="2"/>
      </rPr>
      <t xml:space="preserve">既有 </t>
    </r>
    <r>
      <rPr>
        <sz val="9"/>
        <color rgb="FF1A1F26"/>
        <rFont val="Arial"/>
        <family val="0"/>
        <charset val="1"/>
      </rPr>
      <t xml:space="preserve">23 </t>
    </r>
    <r>
      <rPr>
        <sz val="9"/>
        <color rgb="FF1A1F26"/>
        <rFont val="Noto Sans CJK SC"/>
        <family val="2"/>
      </rPr>
      <t xml:space="preserve">筆孤兒告警可批次補串</t>
    </r>
  </si>
  <si>
    <t xml:space="preserve">8.7</t>
  </si>
  <si>
    <r>
      <rPr>
        <sz val="9"/>
        <color rgb="FF1A1F26"/>
        <rFont val="Arial"/>
        <family val="0"/>
        <charset val="1"/>
      </rPr>
      <t xml:space="preserve">device-heartbeat </t>
    </r>
    <r>
      <rPr>
        <sz val="9"/>
        <color rgb="FF1A1F26"/>
        <rFont val="Noto Sans CJK SC"/>
        <family val="2"/>
      </rPr>
      <t xml:space="preserve">作業</t>
    </r>
  </si>
  <si>
    <r>
      <rPr>
        <sz val="9"/>
        <color rgb="FF1A1F26"/>
        <rFont val="Noto Sans CJK SC"/>
        <family val="2"/>
      </rPr>
      <t xml:space="preserve">離線判定與 </t>
    </r>
    <r>
      <rPr>
        <sz val="9"/>
        <color rgb="FF1A1F26"/>
        <rFont val="Arial"/>
        <family val="0"/>
        <charset val="1"/>
      </rPr>
      <t xml:space="preserve">DEVICE_OFFLINE </t>
    </r>
    <r>
      <rPr>
        <sz val="9"/>
        <color rgb="FF1A1F26"/>
        <rFont val="Noto Sans CJK SC"/>
        <family val="2"/>
      </rPr>
      <t xml:space="preserve">告警（解決 </t>
    </r>
    <r>
      <rPr>
        <sz val="9"/>
        <color rgb="FF1A1F26"/>
        <rFont val="Arial"/>
        <family val="0"/>
        <charset val="1"/>
      </rPr>
      <t xml:space="preserve">4F </t>
    </r>
    <r>
      <rPr>
        <sz val="9"/>
        <color rgb="FF1A1F26"/>
        <rFont val="Noto Sans CJK SC"/>
        <family val="2"/>
      </rPr>
      <t xml:space="preserve">健康度 </t>
    </r>
    <r>
      <rPr>
        <sz val="9"/>
        <color rgb="FF1A1F26"/>
        <rFont val="Arial"/>
        <family val="0"/>
        <charset val="1"/>
      </rPr>
      <t xml:space="preserve">0%</t>
    </r>
    <r>
      <rPr>
        <sz val="9"/>
        <color rgb="FF1A1F26"/>
        <rFont val="Noto Sans CJK SC"/>
        <family val="2"/>
      </rPr>
      <t xml:space="preserve">）</t>
    </r>
  </si>
  <si>
    <r>
      <rPr>
        <sz val="9"/>
        <color rgb="FF1A1F26"/>
        <rFont val="Noto Sans CJK SC"/>
        <family val="2"/>
      </rPr>
      <t xml:space="preserve">感測器離線 </t>
    </r>
    <r>
      <rPr>
        <sz val="9"/>
        <color rgb="FF1A1F26"/>
        <rFont val="Arial"/>
        <family val="0"/>
        <charset val="1"/>
      </rPr>
      <t xml:space="preserve">15 </t>
    </r>
    <r>
      <rPr>
        <sz val="9"/>
        <color rgb="FF1A1F26"/>
        <rFont val="Noto Sans CJK SC"/>
        <family val="2"/>
      </rPr>
      <t xml:space="preserve">分鐘內產生告警</t>
    </r>
  </si>
  <si>
    <t xml:space="preserve">8.8</t>
  </si>
  <si>
    <t xml:space="preserve">報表</t>
  </si>
  <si>
    <r>
      <rPr>
        <sz val="9"/>
        <color rgb="FF1A1F26"/>
        <rFont val="Noto Sans CJK SC"/>
        <family val="2"/>
      </rPr>
      <t xml:space="preserve">設施儀表板彙總 </t>
    </r>
    <r>
      <rPr>
        <sz val="9"/>
        <color rgb="FF1A1F26"/>
        <rFont val="Arial"/>
        <family val="0"/>
        <charset val="1"/>
      </rPr>
      <t xml:space="preserve">API</t>
    </r>
  </si>
  <si>
    <r>
      <rPr>
        <sz val="9"/>
        <color rgb="FF1A1F26"/>
        <rFont val="Noto Sans CJK SC"/>
        <family val="2"/>
      </rPr>
      <t xml:space="preserve">工單、</t>
    </r>
    <r>
      <rPr>
        <sz val="9"/>
        <color rgb="FF1A1F26"/>
        <rFont val="Arial"/>
        <family val="0"/>
        <charset val="1"/>
      </rPr>
      <t xml:space="preserve">SLA</t>
    </r>
    <r>
      <rPr>
        <sz val="9"/>
        <color rgb="FF1A1F26"/>
        <rFont val="Noto Sans CJK SC"/>
        <family val="2"/>
      </rPr>
      <t xml:space="preserve">、資產、</t>
    </r>
    <r>
      <rPr>
        <sz val="9"/>
        <color rgb="FF1A1F26"/>
        <rFont val="Arial"/>
        <family val="0"/>
        <charset val="1"/>
      </rPr>
      <t xml:space="preserve">PM</t>
    </r>
    <r>
      <rPr>
        <sz val="9"/>
        <color rgb="FF1A1F26"/>
        <rFont val="Noto Sans CJK SC"/>
        <family val="2"/>
      </rPr>
      <t xml:space="preserve">、告警、空間、裝置七大區塊</t>
    </r>
  </si>
  <si>
    <t xml:space="preserve">6.7;7.3;8.5</t>
  </si>
  <si>
    <r>
      <rPr>
        <sz val="9"/>
        <color rgb="FF1A1F26"/>
        <rFont val="Noto Sans CJK SC"/>
        <family val="2"/>
      </rPr>
      <t xml:space="preserve">單次請求 </t>
    </r>
    <r>
      <rPr>
        <sz val="9"/>
        <color rgb="FF1A1F26"/>
        <rFont val="Arial"/>
        <family val="0"/>
        <charset val="1"/>
      </rPr>
      <t xml:space="preserve">P95 &lt; 800 ms</t>
    </r>
  </si>
  <si>
    <t xml:space="preserve">8.9</t>
  </si>
  <si>
    <r>
      <rPr>
        <sz val="9"/>
        <color rgb="FF1A1F26"/>
        <rFont val="Arial"/>
        <family val="0"/>
        <charset val="1"/>
      </rPr>
      <t xml:space="preserve">SLA </t>
    </r>
    <r>
      <rPr>
        <sz val="9"/>
        <color rgb="FF1A1F26"/>
        <rFont val="Noto Sans CJK SC"/>
        <family val="2"/>
      </rPr>
      <t xml:space="preserve">與集團彙總 </t>
    </r>
    <r>
      <rPr>
        <sz val="9"/>
        <color rgb="FF1A1F26"/>
        <rFont val="Arial"/>
        <family val="0"/>
        <charset val="1"/>
      </rPr>
      <t xml:space="preserve">API</t>
    </r>
  </si>
  <si>
    <r>
      <rPr>
        <sz val="9"/>
        <color rgb="FF1A1F26"/>
        <rFont val="Arial"/>
        <family val="0"/>
        <charset val="1"/>
      </rPr>
      <t xml:space="preserve">group_by facility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org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team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service_item</t>
    </r>
    <r>
      <rPr>
        <sz val="9"/>
        <color rgb="FF1A1F26"/>
        <rFont val="Noto Sans CJK SC"/>
        <family val="2"/>
      </rPr>
      <t xml:space="preserve">；</t>
    </r>
    <r>
      <rPr>
        <sz val="9"/>
        <color rgb="FF1A1F26"/>
        <rFont val="Arial"/>
        <family val="0"/>
        <charset val="1"/>
      </rPr>
      <t xml:space="preserve">org </t>
    </r>
    <r>
      <rPr>
        <sz val="9"/>
        <color rgb="FF1A1F26"/>
        <rFont val="Noto Sans CJK SC"/>
        <family val="2"/>
      </rPr>
      <t xml:space="preserve">子樹彙總</t>
    </r>
  </si>
  <si>
    <t xml:space="preserve">與明細加總完全一致</t>
  </si>
  <si>
    <t xml:space="preserve">8.10</t>
  </si>
  <si>
    <t xml:space="preserve">報表匯出（非同步）</t>
  </si>
  <si>
    <r>
      <rPr>
        <sz val="9"/>
        <color rgb="FF1A1F26"/>
        <rFont val="Arial"/>
        <family val="0"/>
        <charset val="1"/>
      </rPr>
      <t xml:space="preserve">xlsx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csv </t>
    </r>
    <r>
      <rPr>
        <sz val="9"/>
        <color rgb="FF1A1F26"/>
        <rFont val="Noto Sans CJK SC"/>
        <family val="2"/>
      </rPr>
      <t xml:space="preserve">產檔 </t>
    </r>
    <r>
      <rPr>
        <sz val="9"/>
        <color rgb="FF1A1F26"/>
        <rFont val="Arial"/>
        <family val="0"/>
        <charset val="1"/>
      </rPr>
      <t xml:space="preserve">+ </t>
    </r>
    <r>
      <rPr>
        <sz val="9"/>
        <color rgb="FF1A1F26"/>
        <rFont val="Noto Sans CJK SC"/>
        <family val="2"/>
      </rPr>
      <t xml:space="preserve">下載連結</t>
    </r>
  </si>
  <si>
    <r>
      <rPr>
        <sz val="9"/>
        <color rgb="FF1A1F26"/>
        <rFont val="Arial"/>
        <family val="0"/>
        <charset val="1"/>
      </rPr>
      <t xml:space="preserve">10 </t>
    </r>
    <r>
      <rPr>
        <sz val="9"/>
        <color rgb="FF1A1F26"/>
        <rFont val="Noto Sans CJK SC"/>
        <family val="2"/>
      </rPr>
      <t xml:space="preserve">萬列匯出不阻塞 </t>
    </r>
    <r>
      <rPr>
        <sz val="9"/>
        <color rgb="FF1A1F26"/>
        <rFont val="Arial"/>
        <family val="0"/>
        <charset val="1"/>
      </rPr>
      <t xml:space="preserve">API</t>
    </r>
  </si>
  <si>
    <t xml:space="preserve">8.11</t>
  </si>
  <si>
    <r>
      <rPr>
        <sz val="9"/>
        <color rgb="FF1A1F26"/>
        <rFont val="Arial"/>
        <family val="0"/>
        <charset val="1"/>
      </rPr>
      <t xml:space="preserve">partition-maintainer </t>
    </r>
    <r>
      <rPr>
        <sz val="9"/>
        <color rgb="FF1A1F26"/>
        <rFont val="Noto Sans CJK SC"/>
        <family val="2"/>
      </rPr>
      <t xml:space="preserve">作業</t>
    </r>
  </si>
  <si>
    <t xml:space="preserve">預建三個月分區、歸檔逾期分區並套用權限</t>
  </si>
  <si>
    <r>
      <rPr>
        <sz val="9"/>
        <color rgb="FF1A1F26"/>
        <rFont val="Noto Sans CJK SC"/>
        <family val="2"/>
      </rPr>
      <t xml:space="preserve">跨月寫入不落入 </t>
    </r>
    <r>
      <rPr>
        <sz val="9"/>
        <color rgb="FF1A1F26"/>
        <rFont val="Arial"/>
        <family val="0"/>
        <charset val="1"/>
      </rPr>
      <t xml:space="preserve">default </t>
    </r>
    <r>
      <rPr>
        <sz val="9"/>
        <color rgb="FF1A1F26"/>
        <rFont val="Noto Sans CJK SC"/>
        <family val="2"/>
      </rPr>
      <t xml:space="preserve">分區</t>
    </r>
  </si>
  <si>
    <t xml:space="preserve">8.12</t>
  </si>
  <si>
    <r>
      <rPr>
        <sz val="9"/>
        <color rgb="FF1A1F26"/>
        <rFont val="Arial"/>
        <family val="0"/>
        <charset val="1"/>
      </rPr>
      <t xml:space="preserve">IoT </t>
    </r>
    <r>
      <rPr>
        <sz val="9"/>
        <color rgb="FF1A1F26"/>
        <rFont val="Noto Sans CJK SC"/>
        <family val="2"/>
      </rPr>
      <t xml:space="preserve">與報表測試</t>
    </r>
  </si>
  <si>
    <t xml:space="preserve">規則引擎、去重、彙總正確性</t>
  </si>
  <si>
    <t xml:space="preserve">彙總與明細交叉驗證一致</t>
  </si>
  <si>
    <t xml:space="preserve">9.1</t>
  </si>
  <si>
    <t xml:space="preserve">S8</t>
  </si>
  <si>
    <r>
      <rPr>
        <sz val="9"/>
        <color rgb="FF1A1F26"/>
        <rFont val="Noto Sans CJK SC"/>
        <family val="2"/>
      </rPr>
      <t xml:space="preserve">硬化、效能與 </t>
    </r>
    <r>
      <rPr>
        <sz val="9"/>
        <color rgb="FF1A1F26"/>
        <rFont val="Arial"/>
        <family val="0"/>
        <charset val="1"/>
      </rPr>
      <t xml:space="preserve">UAT</t>
    </r>
  </si>
  <si>
    <t xml:space="preserve">效能</t>
  </si>
  <si>
    <t xml:space="preserve">效能測試與調校</t>
  </si>
  <si>
    <r>
      <rPr>
        <sz val="9"/>
        <color rgb="FF1A1F26"/>
        <rFont val="Arial"/>
        <family val="0"/>
        <charset val="1"/>
      </rPr>
      <t xml:space="preserve">10 </t>
    </r>
    <r>
      <rPr>
        <sz val="9"/>
        <color rgb="FF1A1F26"/>
        <rFont val="Noto Sans CJK SC"/>
        <family val="2"/>
      </rPr>
      <t xml:space="preserve">萬工單／</t>
    </r>
    <r>
      <rPr>
        <sz val="9"/>
        <color rgb="FF1A1F26"/>
        <rFont val="Arial"/>
        <family val="0"/>
        <charset val="1"/>
      </rPr>
      <t xml:space="preserve">2 </t>
    </r>
    <r>
      <rPr>
        <sz val="9"/>
        <color rgb="FF1A1F26"/>
        <rFont val="Noto Sans CJK SC"/>
        <family val="2"/>
      </rPr>
      <t xml:space="preserve">萬設備／</t>
    </r>
    <r>
      <rPr>
        <sz val="9"/>
        <color rgb="FF1A1F26"/>
        <rFont val="Arial"/>
        <family val="0"/>
        <charset val="1"/>
      </rPr>
      <t xml:space="preserve">2,000 </t>
    </r>
    <r>
      <rPr>
        <sz val="9"/>
        <color rgb="FF1A1F26"/>
        <rFont val="Noto Sans CJK SC"/>
        <family val="2"/>
      </rPr>
      <t xml:space="preserve">遙測點合成資料；索引與查詢調整</t>
    </r>
  </si>
  <si>
    <r>
      <rPr>
        <sz val="9"/>
        <color rgb="FF1A1F26"/>
        <rFont val="Noto Sans CJK SC"/>
        <family val="2"/>
      </rPr>
      <t xml:space="preserve">全部 </t>
    </r>
    <r>
      <rPr>
        <sz val="9"/>
        <color rgb="FF1A1F26"/>
        <rFont val="Arial"/>
        <family val="0"/>
        <charset val="1"/>
      </rPr>
      <t xml:space="preserve">NFR </t>
    </r>
    <r>
      <rPr>
        <sz val="9"/>
        <color rgb="FF1A1F26"/>
        <rFont val="Noto Sans CJK SC"/>
        <family val="2"/>
      </rPr>
      <t xml:space="preserve">效能目標達成</t>
    </r>
  </si>
  <si>
    <t xml:space="preserve">9.2</t>
  </si>
  <si>
    <t xml:space="preserve">讀複本與連線池調校</t>
  </si>
  <si>
    <r>
      <rPr>
        <sz val="9"/>
        <color rgb="FF1A1F26"/>
        <rFont val="Noto Sans CJK SC"/>
        <family val="2"/>
      </rPr>
      <t xml:space="preserve">報表導向讀複本；</t>
    </r>
    <r>
      <rPr>
        <sz val="9"/>
        <color rgb="FF1A1F26"/>
        <rFont val="Arial"/>
        <family val="0"/>
        <charset val="1"/>
      </rPr>
      <t xml:space="preserve">pool size </t>
    </r>
    <r>
      <rPr>
        <sz val="9"/>
        <color rgb="FF1A1F26"/>
        <rFont val="Noto Sans CJK SC"/>
        <family val="2"/>
      </rPr>
      <t xml:space="preserve">與 </t>
    </r>
    <r>
      <rPr>
        <sz val="9"/>
        <color rgb="FF1A1F26"/>
        <rFont val="Arial"/>
        <family val="0"/>
        <charset val="1"/>
      </rPr>
      <t xml:space="preserve">max_connections </t>
    </r>
    <r>
      <rPr>
        <sz val="9"/>
        <color rgb="FF1A1F26"/>
        <rFont val="Noto Sans CJK SC"/>
        <family val="2"/>
      </rPr>
      <t xml:space="preserve">對齊</t>
    </r>
  </si>
  <si>
    <t xml:space="preserve">報表查詢不影響寫入延遲</t>
  </si>
  <si>
    <t xml:space="preserve">9.3</t>
  </si>
  <si>
    <t xml:space="preserve">資安</t>
  </si>
  <si>
    <t xml:space="preserve">資安檢視與滲透測試</t>
  </si>
  <si>
    <r>
      <rPr>
        <sz val="9"/>
        <color rgb="FF1A1F26"/>
        <rFont val="Arial"/>
        <family val="0"/>
        <charset val="1"/>
      </rPr>
      <t xml:space="preserve">OWASP API Top 10</t>
    </r>
    <r>
      <rPr>
        <sz val="9"/>
        <color rgb="FF1A1F26"/>
        <rFont val="Noto Sans CJK SC"/>
        <family val="2"/>
      </rPr>
      <t xml:space="preserve">、租戶隔離、越權、密鑰檢查</t>
    </r>
  </si>
  <si>
    <t xml:space="preserve">高風險項目全部修復</t>
  </si>
  <si>
    <t xml:space="preserve">9.4</t>
  </si>
  <si>
    <t xml:space="preserve">租戶級限流</t>
  </si>
  <si>
    <r>
      <rPr>
        <sz val="9"/>
        <color rgb="FF1A1F26"/>
        <rFont val="Arial"/>
        <family val="0"/>
        <charset val="1"/>
      </rPr>
      <t xml:space="preserve">quota_api_rps </t>
    </r>
    <r>
      <rPr>
        <sz val="9"/>
        <color rgb="FF1A1F26"/>
        <rFont val="Noto Sans CJK SC"/>
        <family val="2"/>
      </rPr>
      <t xml:space="preserve">令牌桶；</t>
    </r>
    <r>
      <rPr>
        <sz val="9"/>
        <color rgb="FF1A1F26"/>
        <rFont val="Arial"/>
        <family val="0"/>
        <charset val="1"/>
      </rPr>
      <t xml:space="preserve">429 + Retry-After</t>
    </r>
  </si>
  <si>
    <t xml:space="preserve">單一租戶超量不影響其他租戶</t>
  </si>
  <si>
    <t xml:space="preserve">9.5</t>
  </si>
  <si>
    <t xml:space="preserve">可靠性</t>
  </si>
  <si>
    <t xml:space="preserve">備援與還原演練</t>
  </si>
  <si>
    <r>
      <rPr>
        <sz val="9"/>
        <color rgb="FF1A1F26"/>
        <rFont val="Arial"/>
        <family val="0"/>
        <charset val="1"/>
      </rPr>
      <t xml:space="preserve">PITR </t>
    </r>
    <r>
      <rPr>
        <sz val="9"/>
        <color rgb="FF1A1F26"/>
        <rFont val="Noto Sans CJK SC"/>
        <family val="2"/>
      </rPr>
      <t xml:space="preserve">還原、</t>
    </r>
    <r>
      <rPr>
        <sz val="9"/>
        <color rgb="FF1A1F26"/>
        <rFont val="Arial"/>
        <family val="0"/>
        <charset val="1"/>
      </rPr>
      <t xml:space="preserve">RPO/RTO </t>
    </r>
    <r>
      <rPr>
        <sz val="9"/>
        <color rgb="FF1A1F26"/>
        <rFont val="Noto Sans CJK SC"/>
        <family val="2"/>
      </rPr>
      <t xml:space="preserve">量測</t>
    </r>
  </si>
  <si>
    <r>
      <rPr>
        <sz val="9"/>
        <color rgb="FF1A1F26"/>
        <rFont val="Arial"/>
        <family val="0"/>
        <charset val="1"/>
      </rPr>
      <t xml:space="preserve">RPO ≤ 5 </t>
    </r>
    <r>
      <rPr>
        <sz val="9"/>
        <color rgb="FF1A1F26"/>
        <rFont val="Noto Sans CJK SC"/>
        <family val="2"/>
      </rPr>
      <t xml:space="preserve">分鐘、</t>
    </r>
    <r>
      <rPr>
        <sz val="9"/>
        <color rgb="FF1A1F26"/>
        <rFont val="Arial"/>
        <family val="0"/>
        <charset val="1"/>
      </rPr>
      <t xml:space="preserve">RTO ≤ 1 </t>
    </r>
    <r>
      <rPr>
        <sz val="9"/>
        <color rgb="FF1A1F26"/>
        <rFont val="Noto Sans CJK SC"/>
        <family val="2"/>
      </rPr>
      <t xml:space="preserve">小時</t>
    </r>
  </si>
  <si>
    <t xml:space="preserve">9.6</t>
  </si>
  <si>
    <t xml:space="preserve">契約</t>
  </si>
  <si>
    <r>
      <rPr>
        <sz val="9"/>
        <color rgb="FF1A1F26"/>
        <rFont val="Arial"/>
        <family val="0"/>
        <charset val="1"/>
      </rPr>
      <t xml:space="preserve">OpenAPI </t>
    </r>
    <r>
      <rPr>
        <sz val="9"/>
        <color rgb="FF1A1F26"/>
        <rFont val="Noto Sans CJK SC"/>
        <family val="2"/>
      </rPr>
      <t xml:space="preserve">契約定稿</t>
    </r>
  </si>
  <si>
    <r>
      <rPr>
        <sz val="9"/>
        <color rgb="FF1A1F26"/>
        <rFont val="Noto Sans CJK SC"/>
        <family val="2"/>
      </rPr>
      <t xml:space="preserve">待補端點補齊、範例補完、產生 </t>
    </r>
    <r>
      <rPr>
        <sz val="9"/>
        <color rgb="FF1A1F26"/>
        <rFont val="Arial"/>
        <family val="0"/>
        <charset val="1"/>
      </rPr>
      <t xml:space="preserve">TS client </t>
    </r>
    <r>
      <rPr>
        <sz val="9"/>
        <color rgb="FF1A1F26"/>
        <rFont val="Noto Sans CJK SC"/>
        <family val="2"/>
      </rPr>
      <t xml:space="preserve">驗證</t>
    </r>
  </si>
  <si>
    <r>
      <rPr>
        <sz val="9"/>
        <color rgb="FF1A1F26"/>
        <rFont val="Arial"/>
        <family val="0"/>
        <charset val="1"/>
      </rPr>
      <t xml:space="preserve">TS client </t>
    </r>
    <r>
      <rPr>
        <sz val="9"/>
        <color rgb="FF1A1F26"/>
        <rFont val="Noto Sans CJK SC"/>
        <family val="2"/>
      </rPr>
      <t xml:space="preserve">可跑通端到端流程</t>
    </r>
  </si>
  <si>
    <t xml:space="preserve">9.7</t>
  </si>
  <si>
    <t xml:space="preserve">文件</t>
  </si>
  <si>
    <t xml:space="preserve">規格書與資料匯入手冊定稿</t>
  </si>
  <si>
    <t xml:space="preserve">規格書更新、資料匯入手冊、交接說明</t>
  </si>
  <si>
    <t xml:space="preserve">客戶技術對口可據此接手</t>
  </si>
  <si>
    <t xml:space="preserve">9.12</t>
  </si>
  <si>
    <r>
      <rPr>
        <sz val="9"/>
        <color rgb="FF1A1F26"/>
        <rFont val="Noto Sans CJK SC"/>
        <family val="2"/>
      </rPr>
      <t xml:space="preserve">部署手冊與 </t>
    </r>
    <r>
      <rPr>
        <sz val="9"/>
        <color rgb="FF1A1F26"/>
        <rFont val="Arial"/>
        <family val="0"/>
        <charset val="1"/>
      </rPr>
      <t xml:space="preserve">Runbook</t>
    </r>
  </si>
  <si>
    <t xml:space="preserve">環境建置步驟、監控告警、常見故障處理</t>
  </si>
  <si>
    <r>
      <rPr>
        <sz val="9"/>
        <color rgb="FF1A1F26"/>
        <rFont val="Noto Sans CJK SC"/>
        <family val="2"/>
      </rPr>
      <t xml:space="preserve">值班人員可依 </t>
    </r>
    <r>
      <rPr>
        <sz val="9"/>
        <color rgb="FF1A1F26"/>
        <rFont val="Arial"/>
        <family val="0"/>
        <charset val="1"/>
      </rPr>
      <t xml:space="preserve">Runbook </t>
    </r>
    <r>
      <rPr>
        <sz val="9"/>
        <color rgb="FF1A1F26"/>
        <rFont val="Noto Sans CJK SC"/>
        <family val="2"/>
      </rPr>
      <t xml:space="preserve">獨立處理常見事件</t>
    </r>
  </si>
  <si>
    <t xml:space="preserve">9.8</t>
  </si>
  <si>
    <t xml:space="preserve">UAT</t>
  </si>
  <si>
    <r>
      <rPr>
        <sz val="9"/>
        <color rgb="FF1A1F26"/>
        <rFont val="Noto Sans CJK SC"/>
        <family val="2"/>
      </rPr>
      <t xml:space="preserve">客戶 </t>
    </r>
    <r>
      <rPr>
        <sz val="9"/>
        <color rgb="FF1A1F26"/>
        <rFont val="Arial"/>
        <family val="0"/>
        <charset val="1"/>
      </rPr>
      <t xml:space="preserve">UAT </t>
    </r>
    <r>
      <rPr>
        <sz val="9"/>
        <color rgb="FF1A1F26"/>
        <rFont val="Noto Sans CJK SC"/>
        <family val="2"/>
      </rPr>
      <t xml:space="preserve">支援</t>
    </r>
  </si>
  <si>
    <t xml:space="preserve">場景演練、缺陷修復、資料匯入正式執行</t>
  </si>
  <si>
    <r>
      <rPr>
        <sz val="9"/>
        <color rgb="FF1A1F26"/>
        <rFont val="Arial"/>
        <family val="0"/>
        <charset val="1"/>
      </rPr>
      <t xml:space="preserve">UAT </t>
    </r>
    <r>
      <rPr>
        <sz val="9"/>
        <color rgb="FF1A1F26"/>
        <rFont val="Noto Sans CJK SC"/>
        <family val="2"/>
      </rPr>
      <t xml:space="preserve">缺陷全部結案或排入第二階段</t>
    </r>
  </si>
  <si>
    <t xml:space="preserve">9.9</t>
  </si>
  <si>
    <r>
      <rPr>
        <sz val="9"/>
        <color rgb="FF1A1F26"/>
        <rFont val="Arial"/>
        <family val="0"/>
        <charset val="1"/>
      </rPr>
      <t xml:space="preserve">AD </t>
    </r>
    <r>
      <rPr>
        <sz val="9"/>
        <color rgb="FF1A1F26"/>
        <rFont val="Noto Sans CJK SC"/>
        <family val="2"/>
      </rPr>
      <t xml:space="preserve">導入演練（每客戶）</t>
    </r>
  </si>
  <si>
    <t xml:space="preserve">連線測試、群組對應、同步演練、離職撤權驗證</t>
  </si>
  <si>
    <r>
      <rPr>
        <sz val="9"/>
        <color rgb="FF1A1F26"/>
        <rFont val="Noto Sans CJK SC"/>
        <family val="2"/>
      </rPr>
      <t xml:space="preserve">首個客戶 </t>
    </r>
    <r>
      <rPr>
        <sz val="9"/>
        <color rgb="FF1A1F26"/>
        <rFont val="Arial"/>
        <family val="0"/>
        <charset val="1"/>
      </rPr>
      <t xml:space="preserve">AD </t>
    </r>
    <r>
      <rPr>
        <sz val="9"/>
        <color rgb="FF1A1F26"/>
        <rFont val="Noto Sans CJK SC"/>
        <family val="2"/>
      </rPr>
      <t xml:space="preserve">完成 </t>
    </r>
    <r>
      <rPr>
        <sz val="9"/>
        <color rgb="FF1A1F26"/>
        <rFont val="Arial"/>
        <family val="0"/>
        <charset val="1"/>
      </rPr>
      <t xml:space="preserve">FULL + DELTA </t>
    </r>
    <r>
      <rPr>
        <sz val="9"/>
        <color rgb="FF1A1F26"/>
        <rFont val="Noto Sans CJK SC"/>
        <family val="2"/>
      </rPr>
      <t xml:space="preserve">同步</t>
    </r>
  </si>
  <si>
    <t xml:space="preserve">9.10</t>
  </si>
  <si>
    <t xml:space="preserve">上線</t>
  </si>
  <si>
    <t xml:space="preserve">生產環境建置與上線</t>
  </si>
  <si>
    <t xml:space="preserve">環境、監控告警、上線檢查表、回滾方案</t>
  </si>
  <si>
    <t xml:space="preserve">9.5;9.7</t>
  </si>
  <si>
    <t xml:space="preserve">上線檢查表全數通過</t>
  </si>
  <si>
    <t xml:space="preserve">9.11</t>
  </si>
  <si>
    <t xml:space="preserve">第一階段結案與第二階段規劃</t>
  </si>
  <si>
    <r>
      <rPr>
        <sz val="9"/>
        <color rgb="FF1A1F26"/>
        <rFont val="Arial"/>
        <family val="0"/>
        <charset val="1"/>
      </rPr>
      <t xml:space="preserve">DoD </t>
    </r>
    <r>
      <rPr>
        <sz val="9"/>
        <color rgb="FF1A1F26"/>
        <rFont val="Noto Sans CJK SC"/>
        <family val="2"/>
      </rPr>
      <t xml:space="preserve">逐項驗證、未結項移交、第二階段範圍草案</t>
    </r>
  </si>
  <si>
    <r>
      <rPr>
        <sz val="9"/>
        <color rgb="FF1A1F26"/>
        <rFont val="Noto Sans CJK SC"/>
        <family val="2"/>
      </rPr>
      <t xml:space="preserve">里程碑 </t>
    </r>
    <r>
      <rPr>
        <sz val="9"/>
        <color rgb="FF1A1F26"/>
        <rFont val="Arial"/>
        <family val="0"/>
        <charset val="1"/>
      </rPr>
      <t xml:space="preserve">M8 </t>
    </r>
    <r>
      <rPr>
        <sz val="9"/>
        <color rgb="FF1A1F26"/>
        <rFont val="Noto Sans CJK SC"/>
        <family val="2"/>
      </rPr>
      <t xml:space="preserve">通過</t>
    </r>
  </si>
  <si>
    <t xml:space="preserve">10.1</t>
  </si>
  <si>
    <t xml:space="preserve">S9</t>
  </si>
  <si>
    <r>
      <rPr>
        <sz val="9"/>
        <color rgb="FF1A1F26"/>
        <rFont val="Noto Sans CJK SC"/>
        <family val="2"/>
      </rPr>
      <t xml:space="preserve">對標補強 </t>
    </r>
    <r>
      <rPr>
        <sz val="9"/>
        <color rgb="FF1A1F26"/>
        <rFont val="Arial"/>
        <family val="0"/>
        <charset val="1"/>
      </rPr>
      <t xml:space="preserve">A</t>
    </r>
    <r>
      <rPr>
        <sz val="9"/>
        <color rgb="FF1A1F26"/>
        <rFont val="Noto Sans CJK SC"/>
        <family val="2"/>
      </rPr>
      <t xml:space="preserve">：合併房間與配額</t>
    </r>
  </si>
  <si>
    <t xml:space="preserve">對標補強</t>
  </si>
  <si>
    <r>
      <rPr>
        <sz val="9"/>
        <color rgb="FF1A1F26"/>
        <rFont val="Noto Sans CJK SC"/>
        <family val="2"/>
      </rPr>
      <t xml:space="preserve">套用 </t>
    </r>
    <r>
      <rPr>
        <sz val="9"/>
        <color rgb="FF1A1F26"/>
        <rFont val="Arial"/>
        <family val="0"/>
        <charset val="1"/>
      </rPr>
      <t xml:space="preserve">011_offision_parity </t>
    </r>
    <r>
      <rPr>
        <sz val="9"/>
        <color rgb="FF1A1F26"/>
        <rFont val="Noto Sans CJK SC"/>
        <family val="2"/>
      </rPr>
      <t xml:space="preserve">並驗證</t>
    </r>
  </si>
  <si>
    <r>
      <rPr>
        <sz val="9"/>
        <color rgb="FF1A1F26"/>
        <rFont val="Noto Sans CJK SC"/>
        <family val="2"/>
      </rPr>
      <t xml:space="preserve">合併房間、配額、訪客、公告、設備字典等 </t>
    </r>
    <r>
      <rPr>
        <sz val="9"/>
        <color rgb="FF1A1F26"/>
        <rFont val="Arial"/>
        <family val="0"/>
        <charset val="1"/>
      </rPr>
      <t xml:space="preserve">20 </t>
    </r>
    <r>
      <rPr>
        <sz val="9"/>
        <color rgb="FF1A1F26"/>
        <rFont val="Noto Sans CJK SC"/>
        <family val="2"/>
      </rPr>
      <t xml:space="preserve">張表與 </t>
    </r>
    <r>
      <rPr>
        <sz val="9"/>
        <color rgb="FF1A1F26"/>
        <rFont val="Arial"/>
        <family val="0"/>
        <charset val="1"/>
      </rPr>
      <t xml:space="preserve">84 </t>
    </r>
    <r>
      <rPr>
        <sz val="9"/>
        <color rgb="FF1A1F26"/>
        <rFont val="Noto Sans CJK SC"/>
        <family val="2"/>
      </rPr>
      <t xml:space="preserve">項權限</t>
    </r>
  </si>
  <si>
    <t xml:space="preserve">7.1;8.1</t>
  </si>
  <si>
    <r>
      <rPr>
        <sz val="9"/>
        <color rgb="FF1A1F26"/>
        <rFont val="Arial"/>
        <family val="0"/>
        <charset val="1"/>
      </rPr>
      <t xml:space="preserve">012 </t>
    </r>
    <r>
      <rPr>
        <sz val="9"/>
        <color rgb="FF1A1F26"/>
        <rFont val="Noto Sans CJK SC"/>
        <family val="2"/>
      </rPr>
      <t xml:space="preserve">煙霧測試 </t>
    </r>
    <r>
      <rPr>
        <sz val="9"/>
        <color rgb="FF1A1F26"/>
        <rFont val="Arial"/>
        <family val="0"/>
        <charset val="1"/>
      </rPr>
      <t xml:space="preserve">T5–T10 </t>
    </r>
    <r>
      <rPr>
        <sz val="9"/>
        <color rgb="FF1A1F26"/>
        <rFont val="Noto Sans CJK SC"/>
        <family val="2"/>
      </rPr>
      <t xml:space="preserve">全部通過</t>
    </r>
  </si>
  <si>
    <t xml:space="preserve">10.2</t>
  </si>
  <si>
    <r>
      <rPr>
        <sz val="9"/>
        <color rgb="FF1A1F26"/>
        <rFont val="Noto Sans CJK SC"/>
        <family val="2"/>
      </rPr>
      <t xml:space="preserve">合併房間服務層與 </t>
    </r>
    <r>
      <rPr>
        <sz val="9"/>
        <color rgb="FF1A1F26"/>
        <rFont val="Arial"/>
        <family val="0"/>
        <charset val="1"/>
      </rPr>
      <t xml:space="preserve">API</t>
    </r>
  </si>
  <si>
    <r>
      <rPr>
        <sz val="9"/>
        <color rgb="FF1A1F26"/>
        <rFont val="Noto Sans CJK SC"/>
        <family val="2"/>
      </rPr>
      <t xml:space="preserve">複合資源設定、</t>
    </r>
    <r>
      <rPr>
        <sz val="9"/>
        <color rgb="FF1A1F26"/>
        <rFont val="Arial"/>
        <family val="0"/>
        <charset val="1"/>
      </rPr>
      <t xml:space="preserve">shadow </t>
    </r>
    <r>
      <rPr>
        <sz val="9"/>
        <color rgb="FF1A1F26"/>
        <rFont val="Noto Sans CJK SC"/>
        <family val="2"/>
      </rPr>
      <t xml:space="preserve">展開驗證、衝突回報含「合併房間佔用」、隔板佈置服務連動</t>
    </r>
  </si>
  <si>
    <r>
      <rPr>
        <sz val="9"/>
        <color rgb="FF1A1F26"/>
        <rFont val="Noto Sans CJK SC"/>
        <family val="2"/>
      </rPr>
      <t xml:space="preserve">訂 </t>
    </r>
    <r>
      <rPr>
        <sz val="9"/>
        <color rgb="FF1A1F26"/>
        <rFont val="Arial"/>
        <family val="0"/>
        <charset val="1"/>
      </rPr>
      <t xml:space="preserve">AB </t>
    </r>
    <r>
      <rPr>
        <sz val="9"/>
        <color rgb="FF1A1F26"/>
        <rFont val="Noto Sans CJK SC"/>
        <family val="2"/>
      </rPr>
      <t xml:space="preserve">鎖住 </t>
    </r>
    <r>
      <rPr>
        <sz val="9"/>
        <color rgb="FF1A1F26"/>
        <rFont val="Arial"/>
        <family val="0"/>
        <charset val="1"/>
      </rPr>
      <t xml:space="preserve">A/B</t>
    </r>
    <r>
      <rPr>
        <sz val="9"/>
        <color rgb="FF1A1F26"/>
        <rFont val="Noto Sans CJK SC"/>
        <family val="2"/>
      </rPr>
      <t xml:space="preserve">；訂 </t>
    </r>
    <r>
      <rPr>
        <sz val="9"/>
        <color rgb="FF1A1F26"/>
        <rFont val="Arial"/>
        <family val="0"/>
        <charset val="1"/>
      </rPr>
      <t xml:space="preserve">A </t>
    </r>
    <r>
      <rPr>
        <sz val="9"/>
        <color rgb="FF1A1F26"/>
        <rFont val="Noto Sans CJK SC"/>
        <family val="2"/>
      </rPr>
      <t xml:space="preserve">後 </t>
    </r>
    <r>
      <rPr>
        <sz val="9"/>
        <color rgb="FF1A1F26"/>
        <rFont val="Arial"/>
        <family val="0"/>
        <charset val="1"/>
      </rPr>
      <t xml:space="preserve">AB </t>
    </r>
    <r>
      <rPr>
        <sz val="9"/>
        <color rgb="FF1A1F26"/>
        <rFont val="Noto Sans CJK SC"/>
        <family val="2"/>
      </rPr>
      <t xml:space="preserve">訂不到（雙向）</t>
    </r>
  </si>
  <si>
    <t xml:space="preserve">10.3</t>
  </si>
  <si>
    <t xml:space="preserve">資源</t>
  </si>
  <si>
    <t xml:space="preserve">附屬設備字典與篩選</t>
  </si>
  <si>
    <r>
      <rPr>
        <sz val="9"/>
        <color rgb="FF1A1F26"/>
        <rFont val="Arial"/>
        <family val="0"/>
        <charset val="1"/>
      </rPr>
      <t xml:space="preserve">amenities </t>
    </r>
    <r>
      <rPr>
        <sz val="9"/>
        <color rgb="FF1A1F26"/>
        <rFont val="Noto Sans CJK SC"/>
        <family val="2"/>
      </rPr>
      <t xml:space="preserve">維護 </t>
    </r>
    <r>
      <rPr>
        <sz val="9"/>
        <color rgb="FF1A1F26"/>
        <rFont val="Arial"/>
        <family val="0"/>
        <charset val="1"/>
      </rPr>
      <t xml:space="preserve">API</t>
    </r>
    <r>
      <rPr>
        <sz val="9"/>
        <color rgb="FF1A1F26"/>
        <rFont val="Noto Sans CJK SC"/>
        <family val="2"/>
      </rPr>
      <t xml:space="preserve">、資源設備配置、</t>
    </r>
    <r>
      <rPr>
        <sz val="9"/>
        <color rgb="FF1A1F26"/>
        <rFont val="Arial"/>
        <family val="0"/>
        <charset val="1"/>
      </rPr>
      <t xml:space="preserve">availability </t>
    </r>
    <r>
      <rPr>
        <sz val="9"/>
        <color rgb="FF1A1F26"/>
        <rFont val="Noto Sans CJK SC"/>
        <family val="2"/>
      </rPr>
      <t xml:space="preserve">依設備篩選</t>
    </r>
  </si>
  <si>
    <r>
      <rPr>
        <sz val="9"/>
        <color rgb="FF1A1F26"/>
        <rFont val="Noto Sans CJK SC"/>
        <family val="2"/>
      </rPr>
      <t xml:space="preserve">以「投影機</t>
    </r>
    <r>
      <rPr>
        <sz val="9"/>
        <color rgb="FF1A1F26"/>
        <rFont val="Arial"/>
        <family val="0"/>
        <charset val="1"/>
      </rPr>
      <t xml:space="preserve">+</t>
    </r>
    <r>
      <rPr>
        <sz val="9"/>
        <color rgb="FF1A1F26"/>
        <rFont val="Noto Sans CJK SC"/>
        <family val="2"/>
      </rPr>
      <t xml:space="preserve">視訊」篩選結果與人工核對一致</t>
    </r>
  </si>
  <si>
    <t xml:space="preserve">10.4</t>
  </si>
  <si>
    <t xml:space="preserve">用戶端</t>
  </si>
  <si>
    <r>
      <rPr>
        <sz val="9"/>
        <color rgb="FF1A1F26"/>
        <rFont val="Noto Sans CJK SC"/>
        <family val="2"/>
      </rPr>
      <t xml:space="preserve">資源收藏與 </t>
    </r>
    <r>
      <rPr>
        <sz val="9"/>
        <color rgb="FF1A1F26"/>
        <rFont val="Arial"/>
        <family val="0"/>
        <charset val="1"/>
      </rPr>
      <t xml:space="preserve">QR </t>
    </r>
    <r>
      <rPr>
        <sz val="9"/>
        <color rgb="FF1A1F26"/>
        <rFont val="Noto Sans CJK SC"/>
        <family val="2"/>
      </rPr>
      <t xml:space="preserve">解析</t>
    </r>
  </si>
  <si>
    <r>
      <rPr>
        <sz val="9"/>
        <color rgb="FF1A1F26"/>
        <rFont val="Noto Sans CJK SC"/>
        <family val="2"/>
      </rPr>
      <t xml:space="preserve">收藏 </t>
    </r>
    <r>
      <rPr>
        <sz val="9"/>
        <color rgb="FF1A1F26"/>
        <rFont val="Arial"/>
        <family val="0"/>
        <charset val="1"/>
      </rPr>
      <t xml:space="preserve">CRUD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QR payload </t>
    </r>
    <r>
      <rPr>
        <sz val="9"/>
        <color rgb="FF1A1F26"/>
        <rFont val="Noto Sans CJK SC"/>
        <family val="2"/>
      </rPr>
      <t xml:space="preserve">產生與 </t>
    </r>
    <r>
      <rPr>
        <sz val="9"/>
        <color rgb="FF1A1F26"/>
        <rFont val="Arial"/>
        <family val="0"/>
        <charset val="1"/>
      </rPr>
      <t xml:space="preserve">/resolve-qr</t>
    </r>
  </si>
  <si>
    <t xml:space="preserve">掃碼可直達該資源的預約頁</t>
  </si>
  <si>
    <t xml:space="preserve">10.5</t>
  </si>
  <si>
    <t xml:space="preserve">私人／全天／即場預約</t>
  </si>
  <si>
    <t xml:space="preserve">欄位語意、私人預約的欄位遮罩與越權查看稽核</t>
  </si>
  <si>
    <t xml:space="preserve">非授權者看不到標題與與會者，且留下稽核紀錄</t>
  </si>
  <si>
    <t xml:space="preserve">10.6</t>
  </si>
  <si>
    <t xml:space="preserve">配額</t>
  </si>
  <si>
    <r>
      <rPr>
        <sz val="9"/>
        <color rgb="FF1A1F26"/>
        <rFont val="Noto Sans CJK SC"/>
        <family val="2"/>
      </rPr>
      <t xml:space="preserve">配額政策 </t>
    </r>
    <r>
      <rPr>
        <sz val="9"/>
        <color rgb="FF1A1F26"/>
        <rFont val="Arial"/>
        <family val="0"/>
        <charset val="1"/>
      </rPr>
      <t xml:space="preserve">API </t>
    </r>
    <r>
      <rPr>
        <sz val="9"/>
        <color rgb="FF1A1F26"/>
        <rFont val="Noto Sans CJK SC"/>
        <family val="2"/>
      </rPr>
      <t xml:space="preserve">與預約整合</t>
    </r>
  </si>
  <si>
    <r>
      <rPr>
        <sz val="9"/>
        <color rgb="FF1A1F26"/>
        <rFont val="Noto Sans CJK SC"/>
        <family val="2"/>
      </rPr>
      <t xml:space="preserve">政策／指派 </t>
    </r>
    <r>
      <rPr>
        <sz val="9"/>
        <color rgb="FF1A1F26"/>
        <rFont val="Arial"/>
        <family val="0"/>
        <charset val="1"/>
      </rPr>
      <t xml:space="preserve">CRUD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consume_quota </t>
    </r>
    <r>
      <rPr>
        <sz val="9"/>
        <color rgb="FF1A1F26"/>
        <rFont val="Noto Sans CJK SC"/>
        <family val="2"/>
      </rPr>
      <t xml:space="preserve">併入預約交易、取消退還</t>
    </r>
  </si>
  <si>
    <t xml:space="preserve">10.1;7.5</t>
  </si>
  <si>
    <r>
      <rPr>
        <sz val="9"/>
        <color rgb="FF1A1F26"/>
        <rFont val="Noto Sans CJK SC"/>
        <family val="2"/>
      </rPr>
      <t xml:space="preserve">硬上限超額回 </t>
    </r>
    <r>
      <rPr>
        <sz val="9"/>
        <color rgb="FF1A1F26"/>
        <rFont val="Arial"/>
        <family val="0"/>
        <charset val="1"/>
      </rPr>
      <t xml:space="preserve">409 QUOTA_EXCEEDED </t>
    </r>
    <r>
      <rPr>
        <sz val="9"/>
        <color rgb="FF1A1F26"/>
        <rFont val="Noto Sans CJK SC"/>
        <family val="2"/>
      </rPr>
      <t xml:space="preserve">且預約不成立</t>
    </r>
  </si>
  <si>
    <t xml:space="preserve">10.7</t>
  </si>
  <si>
    <t xml:space="preserve">配額使用歷史與匯出</t>
  </si>
  <si>
    <t xml:space="preserve">明細帳查詢、期間彙總、匯出</t>
  </si>
  <si>
    <t xml:space="preserve">餘額與明細帳加總永遠一致</t>
  </si>
  <si>
    <t xml:space="preserve">10.8</t>
  </si>
  <si>
    <r>
      <rPr>
        <sz val="9"/>
        <color rgb="FF1A1F26"/>
        <rFont val="Noto Sans CJK SC"/>
        <family val="2"/>
      </rPr>
      <t xml:space="preserve">固定座位指派 </t>
    </r>
    <r>
      <rPr>
        <sz val="9"/>
        <color rgb="FF1A1F26"/>
        <rFont val="Arial"/>
        <family val="0"/>
        <charset val="1"/>
      </rPr>
      <t xml:space="preserve">API</t>
    </r>
  </si>
  <si>
    <r>
      <rPr>
        <sz val="9"/>
        <color rgb="FF1A1F26"/>
        <rFont val="Noto Sans CJK SC"/>
        <family val="2"/>
      </rPr>
      <t xml:space="preserve">指派 </t>
    </r>
    <r>
      <rPr>
        <sz val="9"/>
        <color rgb="FF1A1F26"/>
        <rFont val="Arial"/>
        <family val="0"/>
        <charset val="1"/>
      </rPr>
      <t xml:space="preserve">CRUD</t>
    </r>
    <r>
      <rPr>
        <sz val="9"/>
        <color rgb="FF1A1F26"/>
        <rFont val="Noto Sans CJK SC"/>
        <family val="2"/>
      </rPr>
      <t xml:space="preserve">、期間排他、可用性判定整合</t>
    </r>
  </si>
  <si>
    <t xml:space="preserve">他人訂不到已指派座位，本人可訂</t>
  </si>
  <si>
    <t xml:space="preserve">10.9</t>
  </si>
  <si>
    <t xml:space="preserve">帳號</t>
  </si>
  <si>
    <r>
      <rPr>
        <sz val="9"/>
        <color rgb="FF1A1F26"/>
        <rFont val="Noto Sans CJK SC"/>
        <family val="2"/>
      </rPr>
      <t xml:space="preserve">個人偏好 </t>
    </r>
    <r>
      <rPr>
        <sz val="9"/>
        <color rgb="FF1A1F26"/>
        <rFont val="Arial"/>
        <family val="0"/>
        <charset val="1"/>
      </rPr>
      <t xml:space="preserve">API</t>
    </r>
  </si>
  <si>
    <r>
      <rPr>
        <sz val="9"/>
        <color rgb="FF1A1F26"/>
        <rFont val="Arial"/>
        <family val="0"/>
        <charset val="1"/>
      </rPr>
      <t xml:space="preserve">ui_preferences </t>
    </r>
    <r>
      <rPr>
        <sz val="9"/>
        <color rgb="FF1A1F26"/>
        <rFont val="Noto Sans CJK SC"/>
        <family val="2"/>
      </rPr>
      <t xml:space="preserve">讀寫（主題、字級、時間格式、週起始）</t>
    </r>
  </si>
  <si>
    <r>
      <rPr>
        <sz val="9"/>
        <color rgb="FF1A1F26"/>
        <rFont val="Noto Sans CJK SC"/>
        <family val="2"/>
      </rPr>
      <t xml:space="preserve">偏好變更即時生效於 </t>
    </r>
    <r>
      <rPr>
        <sz val="9"/>
        <color rgb="FF1A1F26"/>
        <rFont val="Arial"/>
        <family val="0"/>
        <charset val="1"/>
      </rPr>
      <t xml:space="preserve">/auth/me</t>
    </r>
  </si>
  <si>
    <t xml:space="preserve">10.10</t>
  </si>
  <si>
    <t xml:space="preserve">檢視</t>
  </si>
  <si>
    <r>
      <rPr>
        <sz val="9"/>
        <color rgb="FF1A1F26"/>
        <rFont val="Noto Sans CJK SC"/>
        <family val="2"/>
      </rPr>
      <t xml:space="preserve">統一搜尋 </t>
    </r>
    <r>
      <rPr>
        <sz val="9"/>
        <color rgb="FF1A1F26"/>
        <rFont val="Arial"/>
        <family val="0"/>
        <charset val="1"/>
      </rPr>
      <t xml:space="preserve">API</t>
    </r>
  </si>
  <si>
    <r>
      <rPr>
        <sz val="9"/>
        <color rgb="FF1A1F26"/>
        <rFont val="Noto Sans CJK SC"/>
        <family val="2"/>
      </rPr>
      <t xml:space="preserve">人員／部門／空間／資源四類實體的聚合搜尋（</t>
    </r>
    <r>
      <rPr>
        <sz val="9"/>
        <color rgb="FF1A1F26"/>
        <rFont val="Arial"/>
        <family val="0"/>
        <charset val="1"/>
      </rPr>
      <t xml:space="preserve">trgm</t>
    </r>
    <r>
      <rPr>
        <sz val="9"/>
        <color rgb="FF1A1F26"/>
        <rFont val="Noto Sans CJK SC"/>
        <family val="2"/>
      </rPr>
      <t xml:space="preserve">）</t>
    </r>
  </si>
  <si>
    <t xml:space="preserve">4.2;3.10</t>
  </si>
  <si>
    <t xml:space="preserve">搜尋結果依可存取範圍過濾</t>
  </si>
  <si>
    <t xml:space="preserve">10.11</t>
  </si>
  <si>
    <r>
      <rPr>
        <sz val="9"/>
        <color rgb="FF1A1F26"/>
        <rFont val="Arial"/>
        <family val="0"/>
        <charset val="1"/>
      </rPr>
      <t xml:space="preserve">floor-view </t>
    </r>
    <r>
      <rPr>
        <sz val="9"/>
        <color rgb="FF1A1F26"/>
        <rFont val="Noto Sans CJK SC"/>
        <family val="2"/>
      </rPr>
      <t xml:space="preserve">聚合 </t>
    </r>
    <r>
      <rPr>
        <sz val="9"/>
        <color rgb="FF1A1F26"/>
        <rFont val="Arial"/>
        <family val="0"/>
        <charset val="1"/>
      </rPr>
      <t xml:space="preserve">API</t>
    </r>
  </si>
  <si>
    <t xml:space="preserve">單次回傳節點＋設備＋告警＋幾何＋即時狀態</t>
  </si>
  <si>
    <t xml:space="preserve">4.2;8.5</t>
  </si>
  <si>
    <r>
      <rPr>
        <sz val="9"/>
        <color rgb="FF1A1F26"/>
        <rFont val="Arial"/>
        <family val="0"/>
        <charset val="1"/>
      </rPr>
      <t xml:space="preserve">1 </t>
    </r>
    <r>
      <rPr>
        <sz val="9"/>
        <color rgb="FF1A1F26"/>
        <rFont val="Noto Sans CJK SC"/>
        <family val="2"/>
      </rPr>
      <t xml:space="preserve">萬節點樓層 </t>
    </r>
    <r>
      <rPr>
        <sz val="9"/>
        <color rgb="FF1A1F26"/>
        <rFont val="Arial"/>
        <family val="0"/>
        <charset val="1"/>
      </rPr>
      <t xml:space="preserve">P95 &lt; 500 ms</t>
    </r>
  </si>
  <si>
    <t xml:space="preserve">10.12</t>
  </si>
  <si>
    <t xml:space="preserve">稽核</t>
  </si>
  <si>
    <r>
      <rPr>
        <sz val="9"/>
        <color rgb="FF1A1F26"/>
        <rFont val="Noto Sans CJK SC"/>
        <family val="2"/>
      </rPr>
      <t xml:space="preserve">系統事件稽核 </t>
    </r>
    <r>
      <rPr>
        <sz val="9"/>
        <color rgb="FF1A1F26"/>
        <rFont val="Arial"/>
        <family val="0"/>
        <charset val="1"/>
      </rPr>
      <t xml:space="preserve">worker</t>
    </r>
  </si>
  <si>
    <r>
      <rPr>
        <sz val="9"/>
        <color rgb="FF1A1F26"/>
        <rFont val="Noto Sans CJK SC"/>
        <family val="2"/>
      </rPr>
      <t xml:space="preserve">預約開始／結束兩種系統觸發事件寫入 </t>
    </r>
    <r>
      <rPr>
        <sz val="9"/>
        <color rgb="FF1A1F26"/>
        <rFont val="Arial"/>
        <family val="0"/>
        <charset val="1"/>
      </rPr>
      <t xml:space="preserve">audit_log</t>
    </r>
  </si>
  <si>
    <r>
      <rPr>
        <sz val="9"/>
        <color rgb="FF1A1F26"/>
        <rFont val="Noto Sans CJK SC"/>
        <family val="2"/>
      </rPr>
      <t xml:space="preserve">稽核類型與 </t>
    </r>
    <r>
      <rPr>
        <sz val="9"/>
        <color rgb="FF1A1F26"/>
        <rFont val="Arial"/>
        <family val="0"/>
        <charset val="1"/>
      </rPr>
      <t xml:space="preserve">Offision </t>
    </r>
    <r>
      <rPr>
        <sz val="9"/>
        <color rgb="FF1A1F26"/>
        <rFont val="Noto Sans CJK SC"/>
        <family val="2"/>
      </rPr>
      <t xml:space="preserve">六種事件完全對應</t>
    </r>
  </si>
  <si>
    <t xml:space="preserve">10.13</t>
  </si>
  <si>
    <r>
      <rPr>
        <sz val="9"/>
        <color rgb="FF1A1F26"/>
        <rFont val="Noto Sans CJK SC"/>
        <family val="2"/>
      </rPr>
      <t xml:space="preserve">批次匯入 </t>
    </r>
    <r>
      <rPr>
        <sz val="9"/>
        <color rgb="FF1A1F26"/>
        <rFont val="Arial"/>
        <family val="0"/>
        <charset val="1"/>
      </rPr>
      <t xml:space="preserve">API</t>
    </r>
    <r>
      <rPr>
        <sz val="9"/>
        <color rgb="FF1A1F26"/>
        <rFont val="Noto Sans CJK SC"/>
        <family val="2"/>
      </rPr>
      <t xml:space="preserve">（資源／預約／場次）</t>
    </r>
  </si>
  <si>
    <r>
      <rPr>
        <sz val="9"/>
        <color rgb="FF1A1F26"/>
        <rFont val="Arial"/>
        <family val="0"/>
        <charset val="1"/>
      </rPr>
      <t xml:space="preserve">CSV/JSON </t>
    </r>
    <r>
      <rPr>
        <sz val="9"/>
        <color rgb="FF1A1F26"/>
        <rFont val="Noto Sans CJK SC"/>
        <family val="2"/>
      </rPr>
      <t xml:space="preserve">解析、試跑模式、差異報告、冪等</t>
    </r>
  </si>
  <si>
    <t xml:space="preserve">10.15</t>
  </si>
  <si>
    <r>
      <rPr>
        <sz val="9"/>
        <color rgb="FF1A1F26"/>
        <rFont val="Noto Sans CJK SC"/>
        <family val="2"/>
      </rPr>
      <t xml:space="preserve">平台情境權限硬化（</t>
    </r>
    <r>
      <rPr>
        <sz val="9"/>
        <color rgb="FF1A1F26"/>
        <rFont val="Arial"/>
        <family val="0"/>
        <charset val="1"/>
      </rPr>
      <t xml:space="preserve">013</t>
    </r>
    <r>
      <rPr>
        <sz val="9"/>
        <color rgb="FF1A1F26"/>
        <rFont val="Noto Sans CJK SC"/>
        <family val="2"/>
      </rPr>
      <t xml:space="preserve">）</t>
    </r>
  </si>
  <si>
    <r>
      <rPr>
        <sz val="9"/>
        <color rgb="FF1A1F26"/>
        <rFont val="Arial"/>
        <family val="0"/>
        <charset val="1"/>
      </rPr>
      <t xml:space="preserve">is_platform_context </t>
    </r>
    <r>
      <rPr>
        <sz val="9"/>
        <color rgb="FF1A1F26"/>
        <rFont val="Noto Sans CJK SC"/>
        <family val="2"/>
      </rPr>
      <t xml:space="preserve">加上 </t>
    </r>
    <r>
      <rPr>
        <sz val="9"/>
        <color rgb="FF1A1F26"/>
        <rFont val="Arial"/>
        <family val="0"/>
        <charset val="1"/>
      </rPr>
      <t xml:space="preserve">fms_platform </t>
    </r>
    <r>
      <rPr>
        <sz val="9"/>
        <color rgb="FF1A1F26"/>
        <rFont val="Noto Sans CJK SC"/>
        <family val="2"/>
      </rPr>
      <t xml:space="preserve">成員檢查；</t>
    </r>
    <r>
      <rPr>
        <sz val="9"/>
        <color rgb="FF1A1F26"/>
        <rFont val="Arial"/>
        <family val="0"/>
        <charset val="1"/>
      </rPr>
      <t xml:space="preserve">set_context </t>
    </r>
    <r>
      <rPr>
        <sz val="9"/>
        <color rgb="FF1A1F26"/>
        <rFont val="Noto Sans CJK SC"/>
        <family val="2"/>
      </rPr>
      <t xml:space="preserve">無權限直接拋錯；調整 </t>
    </r>
    <r>
      <rPr>
        <sz val="9"/>
        <color rgb="FF1A1F26"/>
        <rFont val="Arial"/>
        <family val="0"/>
        <charset val="1"/>
      </rPr>
      <t xml:space="preserve">010 T1 </t>
    </r>
    <r>
      <rPr>
        <sz val="9"/>
        <color rgb="FF1A1F26"/>
        <rFont val="Noto Sans CJK SC"/>
        <family val="2"/>
      </rPr>
      <t xml:space="preserve">守衛</t>
    </r>
  </si>
  <si>
    <r>
      <rPr>
        <sz val="9"/>
        <color rgb="FF1A1F26"/>
        <rFont val="Noto Sans CJK SC"/>
        <family val="2"/>
      </rPr>
      <t xml:space="preserve">以 </t>
    </r>
    <r>
      <rPr>
        <sz val="9"/>
        <color rgb="FF1A1F26"/>
        <rFont val="Arial"/>
        <family val="0"/>
        <charset val="1"/>
      </rPr>
      <t xml:space="preserve">fms_app </t>
    </r>
    <r>
      <rPr>
        <sz val="9"/>
        <color rgb="FF1A1F26"/>
        <rFont val="Noto Sans CJK SC"/>
        <family val="2"/>
      </rPr>
      <t xml:space="preserve">設 </t>
    </r>
    <r>
      <rPr>
        <sz val="9"/>
        <color rgb="FF1A1F26"/>
        <rFont val="Arial"/>
        <family val="0"/>
        <charset val="1"/>
      </rPr>
      <t xml:space="preserve">app.is_platform=on </t>
    </r>
    <r>
      <rPr>
        <sz val="9"/>
        <color rgb="FF1A1F26"/>
        <rFont val="Noto Sans CJK SC"/>
        <family val="2"/>
      </rPr>
      <t xml:space="preserve">無法繞過 </t>
    </r>
    <r>
      <rPr>
        <sz val="9"/>
        <color rgb="FF1A1F26"/>
        <rFont val="Arial"/>
        <family val="0"/>
        <charset val="1"/>
      </rPr>
      <t xml:space="preserve">RLS</t>
    </r>
  </si>
  <si>
    <t xml:space="preserve">10.14</t>
  </si>
  <si>
    <r>
      <rPr>
        <sz val="9"/>
        <color rgb="FF1A1F26"/>
        <rFont val="Arial"/>
        <family val="0"/>
        <charset val="1"/>
      </rPr>
      <t xml:space="preserve">012 </t>
    </r>
    <r>
      <rPr>
        <sz val="9"/>
        <color rgb="FF1A1F26"/>
        <rFont val="Noto Sans CJK SC"/>
        <family val="2"/>
      </rPr>
      <t xml:space="preserve">煙霧測試納入 </t>
    </r>
    <r>
      <rPr>
        <sz val="9"/>
        <color rgb="FF1A1F26"/>
        <rFont val="Arial"/>
        <family val="0"/>
        <charset val="1"/>
      </rPr>
      <t xml:space="preserve">CI</t>
    </r>
  </si>
  <si>
    <r>
      <rPr>
        <sz val="9"/>
        <color rgb="FF1A1F26"/>
        <rFont val="Arial"/>
        <family val="0"/>
        <charset val="1"/>
      </rPr>
      <t xml:space="preserve">T5–T10 </t>
    </r>
    <r>
      <rPr>
        <sz val="9"/>
        <color rgb="FF1A1F26"/>
        <rFont val="Noto Sans CJK SC"/>
        <family val="2"/>
      </rPr>
      <t xml:space="preserve">加入 </t>
    </r>
    <r>
      <rPr>
        <sz val="9"/>
        <color rgb="FF1A1F26"/>
        <rFont val="Arial"/>
        <family val="0"/>
        <charset val="1"/>
      </rPr>
      <t xml:space="preserve">pipeline</t>
    </r>
    <r>
      <rPr>
        <sz val="9"/>
        <color rgb="FF1A1F26"/>
        <rFont val="Noto Sans CJK SC"/>
        <family val="2"/>
      </rPr>
      <t xml:space="preserve">，並補併發搶訂合併房間案例</t>
    </r>
  </si>
  <si>
    <t xml:space="preserve">10.2;10.6</t>
  </si>
  <si>
    <t xml:space="preserve">每次合併皆執行，失敗即阻擋</t>
  </si>
  <si>
    <t xml:space="preserve">11.1</t>
  </si>
  <si>
    <t xml:space="preserve">S10</t>
  </si>
  <si>
    <r>
      <rPr>
        <sz val="9"/>
        <color rgb="FF1A1F26"/>
        <rFont val="Noto Sans CJK SC"/>
        <family val="2"/>
      </rPr>
      <t xml:space="preserve">對標補強 </t>
    </r>
    <r>
      <rPr>
        <sz val="9"/>
        <color rgb="FF1A1F26"/>
        <rFont val="Arial"/>
        <family val="0"/>
        <charset val="1"/>
      </rPr>
      <t xml:space="preserve">B</t>
    </r>
    <r>
      <rPr>
        <sz val="9"/>
        <color rgb="FF1A1F26"/>
        <rFont val="Noto Sans CJK SC"/>
        <family val="2"/>
      </rPr>
      <t xml:space="preserve">：訪客與整合</t>
    </r>
  </si>
  <si>
    <t xml:space="preserve">訪客</t>
  </si>
  <si>
    <r>
      <rPr>
        <sz val="9"/>
        <color rgb="FF1A1F26"/>
        <rFont val="Noto Sans CJK SC"/>
        <family val="2"/>
      </rPr>
      <t xml:space="preserve">訪客邀請與預登記 </t>
    </r>
    <r>
      <rPr>
        <sz val="9"/>
        <color rgb="FF1A1F26"/>
        <rFont val="Arial"/>
        <family val="0"/>
        <charset val="1"/>
      </rPr>
      <t xml:space="preserve">API</t>
    </r>
  </si>
  <si>
    <r>
      <rPr>
        <sz val="9"/>
        <color rgb="FF1A1F26"/>
        <rFont val="Noto Sans CJK SC"/>
        <family val="2"/>
      </rPr>
      <t xml:space="preserve">邀請、</t>
    </r>
    <r>
      <rPr>
        <sz val="9"/>
        <color rgb="FF1A1F26"/>
        <rFont val="Arial"/>
        <family val="0"/>
        <charset val="1"/>
      </rPr>
      <t xml:space="preserve">QR </t>
    </r>
    <r>
      <rPr>
        <sz val="9"/>
        <color rgb="FF1A1F26"/>
        <rFont val="Noto Sans CJK SC"/>
        <family val="2"/>
      </rPr>
      <t xml:space="preserve">產生、預登記、通知主人與訪客</t>
    </r>
  </si>
  <si>
    <r>
      <rPr>
        <sz val="9"/>
        <color rgb="FF1A1F26"/>
        <rFont val="Noto Sans CJK SC"/>
        <family val="2"/>
      </rPr>
      <t xml:space="preserve">訪客可用 </t>
    </r>
    <r>
      <rPr>
        <sz val="9"/>
        <color rgb="FF1A1F26"/>
        <rFont val="Arial"/>
        <family val="0"/>
        <charset val="1"/>
      </rPr>
      <t xml:space="preserve">QR </t>
    </r>
    <r>
      <rPr>
        <sz val="9"/>
        <color rgb="FF1A1F26"/>
        <rFont val="Noto Sans CJK SC"/>
        <family val="2"/>
      </rPr>
      <t xml:space="preserve">於自助機完成報到</t>
    </r>
  </si>
  <si>
    <t xml:space="preserve">11.2</t>
  </si>
  <si>
    <t xml:space="preserve">訪客門禁授權整合</t>
  </si>
  <si>
    <r>
      <rPr>
        <sz val="9"/>
        <color rgb="FF1A1F26"/>
        <rFont val="Arial"/>
        <family val="0"/>
        <charset val="1"/>
      </rPr>
      <t xml:space="preserve">access_grants </t>
    </r>
    <r>
      <rPr>
        <sz val="9"/>
        <color rgb="FF1A1F26"/>
        <rFont val="Noto Sans CJK SC"/>
        <family val="2"/>
      </rPr>
      <t xml:space="preserve">簽發、報到後開門、逾時撤銷</t>
    </r>
  </si>
  <si>
    <t xml:space="preserve">11.1;11.7</t>
  </si>
  <si>
    <t xml:space="preserve">開門動作可回溯到邀請與請求者</t>
  </si>
  <si>
    <t xml:space="preserve">11.3</t>
  </si>
  <si>
    <t xml:space="preserve">公告</t>
  </si>
  <si>
    <r>
      <rPr>
        <sz val="9"/>
        <color rgb="FF1A1F26"/>
        <rFont val="Noto Sans CJK SC"/>
        <family val="2"/>
      </rPr>
      <t xml:space="preserve">公告與廣播 </t>
    </r>
    <r>
      <rPr>
        <sz val="9"/>
        <color rgb="FF1A1F26"/>
        <rFont val="Arial"/>
        <family val="0"/>
        <charset val="1"/>
      </rPr>
      <t xml:space="preserve">API</t>
    </r>
  </si>
  <si>
    <t xml:space="preserve">發布、排程、投放範圍（組織子樹／樓層／角色）、已讀與確認</t>
  </si>
  <si>
    <t xml:space="preserve">公告橫幅只出現在目標對象</t>
  </si>
  <si>
    <t xml:space="preserve">11.4</t>
  </si>
  <si>
    <t xml:space="preserve">整合</t>
  </si>
  <si>
    <r>
      <rPr>
        <sz val="9"/>
        <color rgb="FF1A1F26"/>
        <rFont val="Noto Sans CJK SC"/>
        <family val="2"/>
      </rPr>
      <t xml:space="preserve">視訊整合框架 </t>
    </r>
    <r>
      <rPr>
        <sz val="9"/>
        <color rgb="FF1A1F26"/>
        <rFont val="Arial"/>
        <family val="0"/>
        <charset val="1"/>
      </rPr>
      <t xml:space="preserve">+ Teams</t>
    </r>
  </si>
  <si>
    <r>
      <rPr>
        <sz val="9"/>
        <color rgb="FF1A1F26"/>
        <rFont val="Arial"/>
        <family val="0"/>
        <charset val="1"/>
      </rPr>
      <t xml:space="preserve">integrations </t>
    </r>
    <r>
      <rPr>
        <sz val="9"/>
        <color rgb="FF1A1F26"/>
        <rFont val="Noto Sans CJK SC"/>
        <family val="2"/>
      </rPr>
      <t xml:space="preserve">設定、</t>
    </r>
    <r>
      <rPr>
        <sz val="9"/>
        <color rgb="FF1A1F26"/>
        <rFont val="Arial"/>
        <family val="0"/>
        <charset val="1"/>
      </rPr>
      <t xml:space="preserve">OAuth </t>
    </r>
    <r>
      <rPr>
        <sz val="9"/>
        <color rgb="FF1A1F26"/>
        <rFont val="Noto Sans CJK SC"/>
        <family val="2"/>
      </rPr>
      <t xml:space="preserve">委派、</t>
    </r>
    <r>
      <rPr>
        <sz val="9"/>
        <color rgb="FF1A1F26"/>
        <rFont val="Arial"/>
        <family val="0"/>
        <charset val="1"/>
      </rPr>
      <t xml:space="preserve">Graph </t>
    </r>
    <r>
      <rPr>
        <sz val="9"/>
        <color rgb="FF1A1F26"/>
        <rFont val="Noto Sans CJK SC"/>
        <family val="2"/>
      </rPr>
      <t xml:space="preserve">建立會議並回填連結</t>
    </r>
  </si>
  <si>
    <t xml:space="preserve">10.1;3.4</t>
  </si>
  <si>
    <r>
      <rPr>
        <sz val="9"/>
        <color rgb="FF1A1F26"/>
        <rFont val="Noto Sans CJK SC"/>
        <family val="2"/>
      </rPr>
      <t xml:space="preserve">預約成立即取得可用的 </t>
    </r>
    <r>
      <rPr>
        <sz val="9"/>
        <color rgb="FF1A1F26"/>
        <rFont val="Arial"/>
        <family val="0"/>
        <charset val="1"/>
      </rPr>
      <t xml:space="preserve">Teams </t>
    </r>
    <r>
      <rPr>
        <sz val="9"/>
        <color rgb="FF1A1F26"/>
        <rFont val="Noto Sans CJK SC"/>
        <family val="2"/>
      </rPr>
      <t xml:space="preserve">連結</t>
    </r>
  </si>
  <si>
    <t xml:space="preserve">11.5</t>
  </si>
  <si>
    <r>
      <rPr>
        <sz val="9"/>
        <color rgb="FF1A1F26"/>
        <rFont val="Arial"/>
        <family val="0"/>
        <charset val="1"/>
      </rPr>
      <t xml:space="preserve">2FA</t>
    </r>
    <r>
      <rPr>
        <sz val="9"/>
        <color rgb="FF1A1F26"/>
        <rFont val="Noto Sans CJK SC"/>
        <family val="2"/>
      </rPr>
      <t xml:space="preserve">（</t>
    </r>
    <r>
      <rPr>
        <sz val="9"/>
        <color rgb="FF1A1F26"/>
        <rFont val="Arial"/>
        <family val="0"/>
        <charset val="1"/>
      </rPr>
      <t xml:space="preserve">TOTP</t>
    </r>
    <r>
      <rPr>
        <sz val="9"/>
        <color rgb="FF1A1F26"/>
        <rFont val="Noto Sans CJK SC"/>
        <family val="2"/>
      </rPr>
      <t xml:space="preserve">）與信任裝置</t>
    </r>
  </si>
  <si>
    <t xml:space="preserve">因子註冊與驗證、備援碼、信任裝置管理與撤銷</t>
  </si>
  <si>
    <t xml:space="preserve">10.1;3.3</t>
  </si>
  <si>
    <t xml:space="preserve">關閉信任後下次登入必須二階段驗證</t>
  </si>
  <si>
    <t xml:space="preserve">11.6</t>
  </si>
  <si>
    <r>
      <rPr>
        <sz val="9"/>
        <color rgb="FF1A1F26"/>
        <rFont val="Noto Sans CJK SC"/>
        <family val="2"/>
      </rPr>
      <t xml:space="preserve">電子標牌與預約面板 </t>
    </r>
    <r>
      <rPr>
        <sz val="9"/>
        <color rgb="FF1A1F26"/>
        <rFont val="Arial"/>
        <family val="0"/>
        <charset val="1"/>
      </rPr>
      <t xml:space="preserve">API</t>
    </r>
  </si>
  <si>
    <t xml:space="preserve">面板配對、狀態顯示、即場預約／延長／釋放／報修</t>
  </si>
  <si>
    <t xml:space="preserve">10.1;7.3</t>
  </si>
  <si>
    <r>
      <rPr>
        <sz val="9"/>
        <color rgb="FF1A1F26"/>
        <rFont val="Noto Sans CJK SC"/>
        <family val="2"/>
      </rPr>
      <t xml:space="preserve">面板現場預約寫入 </t>
    </r>
    <r>
      <rPr>
        <sz val="9"/>
        <color rgb="FF1A1F26"/>
        <rFont val="Arial"/>
        <family val="0"/>
        <charset val="1"/>
      </rPr>
      <t xml:space="preserve">is_walk_in </t>
    </r>
    <r>
      <rPr>
        <sz val="9"/>
        <color rgb="FF1A1F26"/>
        <rFont val="Noto Sans CJK SC"/>
        <family val="2"/>
      </rPr>
      <t xml:space="preserve">並即時反映</t>
    </r>
  </si>
  <si>
    <t xml:space="preserve">11.7</t>
  </si>
  <si>
    <t xml:space="preserve">設備下行命令與稽核</t>
  </si>
  <si>
    <r>
      <rPr>
        <sz val="9"/>
        <color rgb="FF1A1F26"/>
        <rFont val="Arial"/>
        <family val="0"/>
        <charset val="1"/>
      </rPr>
      <t xml:space="preserve">command </t>
    </r>
    <r>
      <rPr>
        <sz val="9"/>
        <color rgb="FF1A1F26"/>
        <rFont val="Noto Sans CJK SC"/>
        <family val="2"/>
      </rPr>
      <t xml:space="preserve">佇列、重試、逾時、來源追溯（門鎖／燈光／空調）</t>
    </r>
  </si>
  <si>
    <t xml:space="preserve">10.1;8.2</t>
  </si>
  <si>
    <t xml:space="preserve">門鎖命令一律留下來源；未定義命令字被拒絕</t>
  </si>
  <si>
    <t xml:space="preserve">11.8</t>
  </si>
  <si>
    <t xml:space="preserve">分析</t>
  </si>
  <si>
    <t xml:space="preserve">績效指標定義與實作</t>
  </si>
  <si>
    <t xml:space="preserve">回收率／重用率／共享率／綜合評分：先與客戶確認公式再實作</t>
  </si>
  <si>
    <t xml:space="preserve">指標定義經客戶簽核，計算與人工抽樣一致</t>
  </si>
  <si>
    <t xml:space="preserve">11.9</t>
  </si>
  <si>
    <t xml:space="preserve">對標功能測試套件</t>
  </si>
  <si>
    <t xml:space="preserve">訪客全鏈路、公告投放範圍、視訊連結、面板即場預約、門鎖命令稽核</t>
  </si>
  <si>
    <t xml:space="preserve">11.6;11.7</t>
  </si>
  <si>
    <r>
      <rPr>
        <sz val="9"/>
        <color rgb="FF1A1F26"/>
        <rFont val="Noto Sans CJK SC"/>
        <family val="2"/>
      </rPr>
      <t xml:space="preserve">覆蓋率 ≥ </t>
    </r>
    <r>
      <rPr>
        <sz val="9"/>
        <color rgb="FF1A1F26"/>
        <rFont val="Arial"/>
        <family val="0"/>
        <charset val="1"/>
      </rPr>
      <t xml:space="preserve">90%</t>
    </r>
    <r>
      <rPr>
        <sz val="9"/>
        <color rgb="FF1A1F26"/>
        <rFont val="Noto Sans CJK SC"/>
        <family val="2"/>
      </rPr>
      <t xml:space="preserve">，並納入 </t>
    </r>
    <r>
      <rPr>
        <sz val="9"/>
        <color rgb="FF1A1F26"/>
        <rFont val="Arial"/>
        <family val="0"/>
        <charset val="1"/>
      </rPr>
      <t xml:space="preserve">CI</t>
    </r>
  </si>
  <si>
    <t xml:space="preserve">11.10</t>
  </si>
  <si>
    <t xml:space="preserve">對標結案與客戶簡報</t>
  </si>
  <si>
    <t xml:space="preserve">對照矩陣定稿、範圍外項目確認、第二階段候選清單</t>
  </si>
  <si>
    <r>
      <rPr>
        <sz val="9"/>
        <color rgb="FF1A1F26"/>
        <rFont val="Noto Sans CJK SC"/>
        <family val="2"/>
      </rPr>
      <t xml:space="preserve">里程碑 </t>
    </r>
    <r>
      <rPr>
        <sz val="9"/>
        <color rgb="FF1A1F26"/>
        <rFont val="Arial"/>
        <family val="0"/>
        <charset val="1"/>
      </rPr>
      <t xml:space="preserve">M9 </t>
    </r>
    <r>
      <rPr>
        <sz val="9"/>
        <color rgb="FF1A1F26"/>
        <rFont val="Noto Sans CJK SC"/>
        <family val="2"/>
      </rPr>
      <t xml:space="preserve">通過，且範圍外項目經客戶書面確認</t>
    </r>
  </si>
  <si>
    <t xml:space="preserve">12.1</t>
  </si>
  <si>
    <t xml:space="preserve">S11</t>
  </si>
  <si>
    <t xml:space="preserve">整合完備：多視訊平台與行事曆</t>
  </si>
  <si>
    <r>
      <rPr>
        <sz val="9"/>
        <color rgb="FF1A1F26"/>
        <rFont val="Arial"/>
        <family val="0"/>
        <charset val="1"/>
      </rPr>
      <t xml:space="preserve">Google Meet </t>
    </r>
    <r>
      <rPr>
        <sz val="9"/>
        <color rgb="FF1A1F26"/>
        <rFont val="Noto Sans CJK SC"/>
        <family val="2"/>
      </rPr>
      <t xml:space="preserve">連接器</t>
    </r>
  </si>
  <si>
    <r>
      <rPr>
        <sz val="9"/>
        <color rgb="FF1A1F26"/>
        <rFont val="Arial"/>
        <family val="0"/>
        <charset val="1"/>
      </rPr>
      <t xml:space="preserve">Calendar API </t>
    </r>
    <r>
      <rPr>
        <sz val="9"/>
        <color rgb="FF1A1F26"/>
        <rFont val="Noto Sans CJK SC"/>
        <family val="2"/>
      </rPr>
      <t xml:space="preserve">建立會議、回填連結、取消同步</t>
    </r>
  </si>
  <si>
    <r>
      <rPr>
        <sz val="9"/>
        <color rgb="FF1A1F26"/>
        <rFont val="Noto Sans CJK SC"/>
        <family val="2"/>
      </rPr>
      <t xml:space="preserve">預約成立即取得可用 </t>
    </r>
    <r>
      <rPr>
        <sz val="9"/>
        <color rgb="FF1A1F26"/>
        <rFont val="Arial"/>
        <family val="0"/>
        <charset val="1"/>
      </rPr>
      <t xml:space="preserve">Meet </t>
    </r>
    <r>
      <rPr>
        <sz val="9"/>
        <color rgb="FF1A1F26"/>
        <rFont val="Noto Sans CJK SC"/>
        <family val="2"/>
      </rPr>
      <t xml:space="preserve">連結</t>
    </r>
  </si>
  <si>
    <t xml:space="preserve">12.2</t>
  </si>
  <si>
    <r>
      <rPr>
        <sz val="9"/>
        <color rgb="FF1A1F26"/>
        <rFont val="Arial"/>
        <family val="0"/>
        <charset val="1"/>
      </rPr>
      <t xml:space="preserve">Zoom </t>
    </r>
    <r>
      <rPr>
        <sz val="9"/>
        <color rgb="FF1A1F26"/>
        <rFont val="Noto Sans CJK SC"/>
        <family val="2"/>
      </rPr>
      <t xml:space="preserve">連接器</t>
    </r>
  </si>
  <si>
    <r>
      <rPr>
        <sz val="9"/>
        <color rgb="FF1A1F26"/>
        <rFont val="Arial"/>
        <family val="0"/>
        <charset val="1"/>
      </rPr>
      <t xml:space="preserve">Server-to-Server OAuth</t>
    </r>
    <r>
      <rPr>
        <sz val="9"/>
        <color rgb="FF1A1F26"/>
        <rFont val="Noto Sans CJK SC"/>
        <family val="2"/>
      </rPr>
      <t xml:space="preserve">、建立／更新／刪除會議</t>
    </r>
  </si>
  <si>
    <r>
      <rPr>
        <sz val="9"/>
        <color rgb="FF1A1F26"/>
        <rFont val="Noto Sans CJK SC"/>
        <family val="2"/>
      </rPr>
      <t xml:space="preserve">含 </t>
    </r>
    <r>
      <rPr>
        <sz val="9"/>
        <color rgb="FF1A1F26"/>
        <rFont val="Arial"/>
        <family val="0"/>
        <charset val="1"/>
      </rPr>
      <t xml:space="preserve">passcode </t>
    </r>
    <r>
      <rPr>
        <sz val="9"/>
        <color rgb="FF1A1F26"/>
        <rFont val="Noto Sans CJK SC"/>
        <family val="2"/>
      </rPr>
      <t xml:space="preserve">與撥入號碼回填</t>
    </r>
  </si>
  <si>
    <t xml:space="preserve">12.3</t>
  </si>
  <si>
    <r>
      <rPr>
        <sz val="9"/>
        <color rgb="FF1A1F26"/>
        <rFont val="Arial"/>
        <family val="0"/>
        <charset val="1"/>
      </rPr>
      <t xml:space="preserve">Cisco Webex </t>
    </r>
    <r>
      <rPr>
        <sz val="9"/>
        <color rgb="FF1A1F26"/>
        <rFont val="Noto Sans CJK SC"/>
        <family val="2"/>
      </rPr>
      <t xml:space="preserve">連接器</t>
    </r>
  </si>
  <si>
    <t xml:space="preserve">建立會議與連結回填</t>
  </si>
  <si>
    <t xml:space="preserve">與其他平台共用同一介面抽象</t>
  </si>
  <si>
    <t xml:space="preserve">12.4</t>
  </si>
  <si>
    <r>
      <rPr>
        <sz val="9"/>
        <color rgb="FF1A1F26"/>
        <rFont val="Arial"/>
        <family val="0"/>
        <charset val="1"/>
      </rPr>
      <t xml:space="preserve">M365 </t>
    </r>
    <r>
      <rPr>
        <sz val="9"/>
        <color rgb="FF1A1F26"/>
        <rFont val="Noto Sans CJK SC"/>
        <family val="2"/>
      </rPr>
      <t xml:space="preserve">聯絡人查詢代理</t>
    </r>
  </si>
  <si>
    <r>
      <rPr>
        <sz val="9"/>
        <color rgb="FF1A1F26"/>
        <rFont val="Noto Sans CJK SC"/>
        <family val="2"/>
      </rPr>
      <t xml:space="preserve">與會者自 </t>
    </r>
    <r>
      <rPr>
        <sz val="9"/>
        <color rgb="FF1A1F26"/>
        <rFont val="Arial"/>
        <family val="0"/>
        <charset val="1"/>
      </rPr>
      <t xml:space="preserve">M365 </t>
    </r>
    <r>
      <rPr>
        <sz val="9"/>
        <color rgb="FF1A1F26"/>
        <rFont val="Noto Sans CJK SC"/>
        <family val="2"/>
      </rPr>
      <t xml:space="preserve">通訊錄挑選，含快取與節流</t>
    </r>
  </si>
  <si>
    <r>
      <rPr>
        <sz val="9"/>
        <color rgb="FF1A1F26"/>
        <rFont val="Noto Sans CJK SC"/>
        <family val="2"/>
      </rPr>
      <t xml:space="preserve">查詢延遲 </t>
    </r>
    <r>
      <rPr>
        <sz val="9"/>
        <color rgb="FF1A1F26"/>
        <rFont val="Arial"/>
        <family val="0"/>
        <charset val="1"/>
      </rPr>
      <t xml:space="preserve">P95 &lt; 500 ms</t>
    </r>
  </si>
  <si>
    <t xml:space="preserve">12.5</t>
  </si>
  <si>
    <t xml:space="preserve">外部行事曆雙向同步</t>
  </si>
  <si>
    <r>
      <rPr>
        <sz val="9"/>
        <color rgb="FF1A1F26"/>
        <rFont val="Arial"/>
        <family val="0"/>
        <charset val="1"/>
      </rPr>
      <t xml:space="preserve">Exchange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Google </t>
    </r>
    <r>
      <rPr>
        <sz val="9"/>
        <color rgb="FF1A1F26"/>
        <rFont val="Noto Sans CJK SC"/>
        <family val="2"/>
      </rPr>
      <t xml:space="preserve">雙向同步、衝突偵測與 </t>
    </r>
    <r>
      <rPr>
        <sz val="9"/>
        <color rgb="FF1A1F26"/>
        <rFont val="Arial"/>
        <family val="0"/>
        <charset val="1"/>
      </rPr>
      <t xml:space="preserve">CONFLICT </t>
    </r>
    <r>
      <rPr>
        <sz val="9"/>
        <color rgb="FF1A1F26"/>
        <rFont val="Noto Sans CJK SC"/>
        <family val="2"/>
      </rPr>
      <t xml:space="preserve">狀態處理</t>
    </r>
  </si>
  <si>
    <t xml:space="preserve">外部刪除會反映為預約取消，且不會無限迴圈</t>
  </si>
  <si>
    <t xml:space="preserve">12.6</t>
  </si>
  <si>
    <t xml:space="preserve">工作流程</t>
  </si>
  <si>
    <t xml:space="preserve">可設定工作流程引擎</t>
  </si>
  <si>
    <t xml:space="preserve">預約與訪客的審核／通知流程資料化（沿用工單狀態機模式）</t>
  </si>
  <si>
    <t xml:space="preserve">新增一條審核關卡不需發版</t>
  </si>
  <si>
    <t xml:space="preserve">12.7</t>
  </si>
  <si>
    <t xml:space="preserve">自動資源預約</t>
  </si>
  <si>
    <t xml:space="preserve">依規則（時間、人數、設備）自動建立預約</t>
  </si>
  <si>
    <t xml:space="preserve">規則命中時自動建單並可回溯觸發來源</t>
  </si>
  <si>
    <t xml:space="preserve">12.8</t>
  </si>
  <si>
    <t xml:space="preserve">整合測試（多平台）</t>
  </si>
  <si>
    <t xml:space="preserve">四家視訊平台與雙向同步的整合測試與失敗重試</t>
  </si>
  <si>
    <t xml:space="preserve">任一平台失效不影響預約成立</t>
  </si>
  <si>
    <t xml:space="preserve">13.1</t>
  </si>
  <si>
    <t xml:space="preserve">S12</t>
  </si>
  <si>
    <r>
      <rPr>
        <sz val="9"/>
        <color rgb="FF1A1F26"/>
        <rFont val="Arial"/>
        <family val="0"/>
        <charset val="1"/>
      </rPr>
      <t xml:space="preserve">AI</t>
    </r>
    <r>
      <rPr>
        <sz val="9"/>
        <color rgb="FF1A1F26"/>
        <rFont val="Noto Sans CJK SC"/>
        <family val="2"/>
      </rPr>
      <t xml:space="preserve">、工作流程與最終驗收</t>
    </r>
  </si>
  <si>
    <t xml:space="preserve">AI</t>
  </si>
  <si>
    <t xml:space="preserve">自然語言數據查詢</t>
  </si>
  <si>
    <r>
      <rPr>
        <sz val="9"/>
        <color rgb="FF1A1F26"/>
        <rFont val="Noto Sans CJK SC"/>
        <family val="2"/>
      </rPr>
      <t xml:space="preserve">查詢白名單、意圖解析、結果驗證、問答歷史；</t>
    </r>
    <r>
      <rPr>
        <sz val="9"/>
        <color rgb="FF1A1F26"/>
        <rFont val="Arial"/>
        <family val="0"/>
        <charset val="1"/>
      </rPr>
      <t xml:space="preserve">250 </t>
    </r>
    <r>
      <rPr>
        <sz val="9"/>
        <color rgb="FF1A1F26"/>
        <rFont val="Noto Sans CJK SC"/>
        <family val="2"/>
      </rPr>
      <t xml:space="preserve">字限制</t>
    </r>
  </si>
  <si>
    <r>
      <rPr>
        <sz val="9"/>
        <color rgb="FF1A1F26"/>
        <rFont val="Noto Sans CJK SC"/>
        <family val="2"/>
      </rPr>
      <t xml:space="preserve">不得產生任意 </t>
    </r>
    <r>
      <rPr>
        <sz val="9"/>
        <color rgb="FF1A1F26"/>
        <rFont val="Arial"/>
        <family val="0"/>
        <charset val="1"/>
      </rPr>
      <t xml:space="preserve">SQL</t>
    </r>
    <r>
      <rPr>
        <sz val="9"/>
        <color rgb="FF1A1F26"/>
        <rFont val="Noto Sans CJK SC"/>
        <family val="2"/>
      </rPr>
      <t xml:space="preserve">；所有查詢皆走白名單並受 </t>
    </r>
    <r>
      <rPr>
        <sz val="9"/>
        <color rgb="FF1A1F26"/>
        <rFont val="Arial"/>
        <family val="0"/>
        <charset val="1"/>
      </rPr>
      <t xml:space="preserve">RLS </t>
    </r>
    <r>
      <rPr>
        <sz val="9"/>
        <color rgb="FF1A1F26"/>
        <rFont val="Noto Sans CJK SC"/>
        <family val="2"/>
      </rPr>
      <t xml:space="preserve">約束</t>
    </r>
  </si>
  <si>
    <t xml:space="preserve">13.2</t>
  </si>
  <si>
    <r>
      <rPr>
        <sz val="9"/>
        <color rgb="FF1A1F26"/>
        <rFont val="Arial"/>
        <family val="0"/>
        <charset val="1"/>
      </rPr>
      <t xml:space="preserve">AI </t>
    </r>
    <r>
      <rPr>
        <sz val="9"/>
        <color rgb="FF1A1F26"/>
        <rFont val="Noto Sans CJK SC"/>
        <family val="2"/>
      </rPr>
      <t xml:space="preserve">操作問答支援</t>
    </r>
  </si>
  <si>
    <t xml:space="preserve">以規格書與端點清單為知識庫的操作協助</t>
  </si>
  <si>
    <t xml:space="preserve">回答附出處章節</t>
  </si>
  <si>
    <t xml:space="preserve">13.3</t>
  </si>
  <si>
    <t xml:space="preserve">活動管理</t>
  </si>
  <si>
    <t xml:space="preserve">大型活動的多資源、多時段與人員配置</t>
  </si>
  <si>
    <t xml:space="preserve">一場活動可一次佔用多個空間並連動服務工單</t>
  </si>
  <si>
    <t xml:space="preserve">13.4</t>
  </si>
  <si>
    <t xml:space="preserve">天氣與外部小工具代理</t>
  </si>
  <si>
    <r>
      <rPr>
        <sz val="9"/>
        <color rgb="FF1A1F26"/>
        <rFont val="Noto Sans CJK SC"/>
        <family val="2"/>
      </rPr>
      <t xml:space="preserve">外部 </t>
    </r>
    <r>
      <rPr>
        <sz val="9"/>
        <color rgb="FF1A1F26"/>
        <rFont val="Arial"/>
        <family val="0"/>
        <charset val="1"/>
      </rPr>
      <t xml:space="preserve">API </t>
    </r>
    <r>
      <rPr>
        <sz val="9"/>
        <color rgb="FF1A1F26"/>
        <rFont val="Noto Sans CJK SC"/>
        <family val="2"/>
      </rPr>
      <t xml:space="preserve">代理與快取</t>
    </r>
  </si>
  <si>
    <t xml:space="preserve">外部服務失效時不影響主頁載入</t>
  </si>
  <si>
    <t xml:space="preserve">13.5</t>
  </si>
  <si>
    <t xml:space="preserve">全功能回歸測試</t>
  </si>
  <si>
    <r>
      <rPr>
        <sz val="9"/>
        <color rgb="FF1A1F26"/>
        <rFont val="Arial"/>
        <family val="0"/>
        <charset val="1"/>
      </rPr>
      <t xml:space="preserve">T1–T10 </t>
    </r>
    <r>
      <rPr>
        <sz val="9"/>
        <color rgb="FF1A1F26"/>
        <rFont val="Noto Sans CJK SC"/>
        <family val="2"/>
      </rPr>
      <t xml:space="preserve">全綠、對照矩陣逐項覆核、非功能指標複測</t>
    </r>
  </si>
  <si>
    <r>
      <rPr>
        <sz val="9"/>
        <color rgb="FF1A1F26"/>
        <rFont val="Noto Sans CJK SC"/>
        <family val="2"/>
      </rPr>
      <t xml:space="preserve">對照矩陣「</t>
    </r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後狀態」與實作一致</t>
    </r>
  </si>
  <si>
    <t xml:space="preserve">13.6</t>
  </si>
  <si>
    <t xml:space="preserve">第二輪資安檢視</t>
  </si>
  <si>
    <r>
      <rPr>
        <sz val="9"/>
        <color rgb="FF1A1F26"/>
        <rFont val="Arial"/>
        <family val="0"/>
        <charset val="1"/>
      </rPr>
      <t xml:space="preserve">AI </t>
    </r>
    <r>
      <rPr>
        <sz val="9"/>
        <color rgb="FF1A1F26"/>
        <rFont val="Noto Sans CJK SC"/>
        <family val="2"/>
      </rPr>
      <t xml:space="preserve">查詢層與整合層的越權與注入測試</t>
    </r>
  </si>
  <si>
    <r>
      <rPr>
        <sz val="9"/>
        <color rgb="FF1A1F26"/>
        <rFont val="Arial"/>
        <family val="0"/>
        <charset val="1"/>
      </rPr>
      <t xml:space="preserve">AI </t>
    </r>
    <r>
      <rPr>
        <sz val="9"/>
        <color rgb="FF1A1F26"/>
        <rFont val="Noto Sans CJK SC"/>
        <family val="2"/>
      </rPr>
      <t xml:space="preserve">查詢無法跨租戶取數</t>
    </r>
  </si>
  <si>
    <t xml:space="preserve">13.7</t>
  </si>
  <si>
    <t xml:space="preserve">第一階段最終驗收與交付</t>
  </si>
  <si>
    <r>
      <rPr>
        <sz val="9"/>
        <color rgb="FF1A1F26"/>
        <rFont val="Arial"/>
        <family val="0"/>
        <charset val="1"/>
      </rPr>
      <t xml:space="preserve">DoD </t>
    </r>
    <r>
      <rPr>
        <sz val="9"/>
        <color rgb="FF1A1F26"/>
        <rFont val="Noto Sans CJK SC"/>
        <family val="2"/>
      </rPr>
      <t xml:space="preserve">逐項驗證、文件定稿、客戶簽核</t>
    </r>
  </si>
  <si>
    <r>
      <rPr>
        <sz val="9"/>
        <color rgb="FF1A1F26"/>
        <rFont val="Noto Sans CJK SC"/>
        <family val="2"/>
      </rPr>
      <t xml:space="preserve">里程碑 </t>
    </r>
    <r>
      <rPr>
        <sz val="9"/>
        <color rgb="FF1A1F26"/>
        <rFont val="Arial"/>
        <family val="0"/>
        <charset val="1"/>
      </rPr>
      <t xml:space="preserve">M10 </t>
    </r>
    <r>
      <rPr>
        <sz val="9"/>
        <color rgb="FF1A1F26"/>
        <rFont val="Noto Sans CJK SC"/>
        <family val="2"/>
      </rPr>
      <t xml:space="preserve">通過</t>
    </r>
  </si>
  <si>
    <t xml:space="preserve">合計</t>
  </si>
  <si>
    <t xml:space="preserve">整體進度</t>
  </si>
  <si>
    <r>
      <rPr>
        <b val="true"/>
        <sz val="14"/>
        <color rgb="FF0A0E18"/>
        <rFont val="Arial"/>
        <family val="0"/>
        <charset val="1"/>
      </rPr>
      <t xml:space="preserve">Sprint </t>
    </r>
    <r>
      <rPr>
        <b val="true"/>
        <sz val="14"/>
        <color rgb="FF0A0E18"/>
        <rFont val="Noto Sans CJK SC"/>
        <family val="2"/>
      </rPr>
      <t xml:space="preserve">摘要（全部欄位由 </t>
    </r>
    <r>
      <rPr>
        <b val="true"/>
        <sz val="14"/>
        <color rgb="FF0A0E18"/>
        <rFont val="Arial"/>
        <family val="0"/>
        <charset val="1"/>
      </rPr>
      <t xml:space="preserve">WBS </t>
    </r>
    <r>
      <rPr>
        <b val="true"/>
        <sz val="14"/>
        <color rgb="FF0A0E18"/>
        <rFont val="Noto Sans CJK SC"/>
        <family val="2"/>
      </rPr>
      <t xml:space="preserve">工作表計算）</t>
    </r>
  </si>
  <si>
    <t xml:space="preserve">開始</t>
  </si>
  <si>
    <t xml:space="preserve">結束</t>
  </si>
  <si>
    <t xml:space="preserve">工作日</t>
  </si>
  <si>
    <t xml:space="preserve">任務數</t>
  </si>
  <si>
    <r>
      <rPr>
        <b val="true"/>
        <sz val="10"/>
        <color rgb="FFFFFFFF"/>
        <rFont val="Noto Sans CJK SC"/>
        <family val="2"/>
      </rPr>
      <t xml:space="preserve">已完成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人日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</si>
  <si>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進度</t>
  </si>
  <si>
    <t xml:space="preserve">佔全期比重</t>
  </si>
  <si>
    <r>
      <rPr>
        <sz val="10"/>
        <color rgb="FF1A1F26"/>
        <rFont val="Noto Sans CJK SC"/>
        <family val="2"/>
      </rPr>
      <t xml:space="preserve">身分整合與 </t>
    </r>
    <r>
      <rPr>
        <sz val="10"/>
        <color rgb="FF1A1F26"/>
        <rFont val="Arial"/>
        <family val="0"/>
        <charset val="1"/>
      </rPr>
      <t xml:space="preserve">RBAC</t>
    </r>
  </si>
  <si>
    <r>
      <rPr>
        <sz val="10"/>
        <color rgb="FF1A1F26"/>
        <rFont val="Noto Sans CJK SC"/>
        <family val="2"/>
      </rPr>
      <t xml:space="preserve">空間、</t>
    </r>
    <r>
      <rPr>
        <sz val="10"/>
        <color rgb="FF1A1F26"/>
        <rFont val="Arial"/>
        <family val="0"/>
        <charset val="1"/>
      </rPr>
      <t xml:space="preserve">BIM </t>
    </r>
    <r>
      <rPr>
        <sz val="10"/>
        <color rgb="FF1A1F26"/>
        <rFont val="Noto Sans CJK SC"/>
        <family val="2"/>
      </rPr>
      <t xml:space="preserve">與資產</t>
    </r>
  </si>
  <si>
    <r>
      <rPr>
        <sz val="10"/>
        <color rgb="FF1A1F26"/>
        <rFont val="Arial"/>
        <family val="0"/>
        <charset val="1"/>
      </rPr>
      <t xml:space="preserve">Soft FM </t>
    </r>
    <r>
      <rPr>
        <sz val="10"/>
        <color rgb="FF1A1F26"/>
        <rFont val="Noto Sans CJK SC"/>
        <family val="2"/>
      </rPr>
      <t xml:space="preserve">與預防性維護</t>
    </r>
  </si>
  <si>
    <r>
      <rPr>
        <sz val="10"/>
        <color rgb="FF1A1F26"/>
        <rFont val="Arial"/>
        <family val="0"/>
        <charset val="1"/>
      </rPr>
      <t xml:space="preserve">IoT</t>
    </r>
    <r>
      <rPr>
        <sz val="10"/>
        <color rgb="FF1A1F26"/>
        <rFont val="Noto Sans CJK SC"/>
        <family val="2"/>
      </rPr>
      <t xml:space="preserve">、告警與報表</t>
    </r>
  </si>
  <si>
    <r>
      <rPr>
        <sz val="10"/>
        <color rgb="FF1A1F26"/>
        <rFont val="Noto Sans CJK SC"/>
        <family val="2"/>
      </rPr>
      <t xml:space="preserve">硬化、效能與 </t>
    </r>
    <r>
      <rPr>
        <sz val="10"/>
        <color rgb="FF1A1F26"/>
        <rFont val="Arial"/>
        <family val="0"/>
        <charset val="1"/>
      </rPr>
      <t xml:space="preserve">UAT</t>
    </r>
  </si>
  <si>
    <r>
      <rPr>
        <sz val="10"/>
        <color rgb="FF1A1F26"/>
        <rFont val="Noto Sans CJK SC"/>
        <family val="2"/>
      </rPr>
      <t xml:space="preserve">對標補強 </t>
    </r>
    <r>
      <rPr>
        <sz val="10"/>
        <color rgb="FF1A1F26"/>
        <rFont val="Arial"/>
        <family val="0"/>
        <charset val="1"/>
      </rPr>
      <t xml:space="preserve">A</t>
    </r>
    <r>
      <rPr>
        <sz val="10"/>
        <color rgb="FF1A1F26"/>
        <rFont val="Noto Sans CJK SC"/>
        <family val="2"/>
      </rPr>
      <t xml:space="preserve">：合併房間與配額</t>
    </r>
  </si>
  <si>
    <r>
      <rPr>
        <sz val="10"/>
        <color rgb="FF1A1F26"/>
        <rFont val="Noto Sans CJK SC"/>
        <family val="2"/>
      </rPr>
      <t xml:space="preserve">對標補強 </t>
    </r>
    <r>
      <rPr>
        <sz val="10"/>
        <color rgb="FF1A1F26"/>
        <rFont val="Arial"/>
        <family val="0"/>
        <charset val="1"/>
      </rPr>
      <t xml:space="preserve">B</t>
    </r>
    <r>
      <rPr>
        <sz val="10"/>
        <color rgb="FF1A1F26"/>
        <rFont val="Noto Sans CJK SC"/>
        <family val="2"/>
      </rPr>
      <t xml:space="preserve">：訪客與整合</t>
    </r>
  </si>
  <si>
    <r>
      <rPr>
        <sz val="10"/>
        <color rgb="FF1A1F26"/>
        <rFont val="Arial"/>
        <family val="0"/>
        <charset val="1"/>
      </rPr>
      <t xml:space="preserve">AI</t>
    </r>
    <r>
      <rPr>
        <sz val="10"/>
        <color rgb="FF1A1F26"/>
        <rFont val="Noto Sans CJK SC"/>
        <family val="2"/>
      </rPr>
      <t xml:space="preserve">、工作流程與最終驗收</t>
    </r>
  </si>
  <si>
    <r>
      <rPr>
        <i val="true"/>
        <sz val="9"/>
        <color rgb="FF5A6672"/>
        <rFont val="Noto Sans CJK SC"/>
        <family val="2"/>
      </rPr>
      <t xml:space="preserve">註：工作日以 </t>
    </r>
    <r>
      <rPr>
        <i val="true"/>
        <sz val="9"/>
        <color rgb="FF5A6672"/>
        <rFont val="Arial"/>
        <family val="0"/>
        <charset val="1"/>
      </rPr>
      <t xml:space="preserve">NETWORKDAYS </t>
    </r>
    <r>
      <rPr>
        <i val="true"/>
        <sz val="9"/>
        <color rgb="FF5A6672"/>
        <rFont val="Noto Sans CJK SC"/>
        <family val="2"/>
      </rPr>
      <t xml:space="preserve">計算，未扣除國定假日；估算為淨開發工時，不含跨團隊等待。</t>
    </r>
  </si>
  <si>
    <r>
      <rPr>
        <b val="true"/>
        <sz val="14"/>
        <color rgb="FF0A0E18"/>
        <rFont val="Noto Sans CJK SC"/>
        <family val="2"/>
      </rPr>
      <t xml:space="preserve">資源負載矩陣（角色 </t>
    </r>
    <r>
      <rPr>
        <b val="true"/>
        <sz val="14"/>
        <color rgb="FF0A0E18"/>
        <rFont val="Arial"/>
        <family val="0"/>
        <charset val="1"/>
      </rPr>
      <t xml:space="preserve">× Sprint</t>
    </r>
    <r>
      <rPr>
        <b val="true"/>
        <sz val="14"/>
        <color rgb="FF0A0E18"/>
        <rFont val="Noto Sans CJK SC"/>
        <family val="2"/>
      </rPr>
      <t xml:space="preserve">，單位：人日）</t>
    </r>
  </si>
  <si>
    <t xml:space="preserve">角色</t>
  </si>
  <si>
    <t xml:space="preserve">投入比例</t>
  </si>
  <si>
    <t xml:space="preserve">可用產能</t>
  </si>
  <si>
    <t xml:space="preserve">負載率</t>
  </si>
  <si>
    <r>
      <rPr>
        <b val="true"/>
        <sz val="11"/>
        <color rgb="FF0A0E18"/>
        <rFont val="Noto Sans CJK SC"/>
        <family val="2"/>
      </rPr>
      <t xml:space="preserve">人力配置假設（</t>
    </r>
    <r>
      <rPr>
        <b val="true"/>
        <sz val="11"/>
        <color rgb="FF0A0E18"/>
        <rFont val="Arial"/>
        <family val="0"/>
        <charset val="1"/>
      </rPr>
      <t xml:space="preserve">FTE</t>
    </r>
    <r>
      <rPr>
        <b val="true"/>
        <sz val="11"/>
        <color rgb="FF0A0E18"/>
        <rFont val="Noto Sans CJK SC"/>
        <family val="2"/>
      </rPr>
      <t xml:space="preserve">，可調整）</t>
    </r>
  </si>
  <si>
    <r>
      <rPr>
        <sz val="9"/>
        <color rgb="FF5A6672"/>
        <rFont val="Arial"/>
        <family val="0"/>
        <charset val="1"/>
      </rPr>
      <t xml:space="preserve">FTE</t>
    </r>
    <r>
      <rPr>
        <sz val="9"/>
        <color rgb="FF5A6672"/>
        <rFont val="Noto Sans CJK SC"/>
        <family val="2"/>
      </rPr>
      <t xml:space="preserve">（</t>
    </r>
    <r>
      <rPr>
        <sz val="9"/>
        <color rgb="FF5A6672"/>
        <rFont val="Arial"/>
        <family val="0"/>
        <charset val="1"/>
      </rPr>
      <t xml:space="preserve">1.0 = </t>
    </r>
    <r>
      <rPr>
        <sz val="9"/>
        <color rgb="FF5A6672"/>
        <rFont val="Noto Sans CJK SC"/>
        <family val="2"/>
      </rPr>
      <t xml:space="preserve">全職投入）</t>
    </r>
  </si>
  <si>
    <r>
      <rPr>
        <b val="true"/>
        <sz val="10"/>
        <color rgb="FF1A1F26"/>
        <rFont val="Noto Sans CJK SC"/>
        <family val="2"/>
      </rPr>
      <t xml:space="preserve">合計 </t>
    </r>
    <r>
      <rPr>
        <b val="true"/>
        <sz val="10"/>
        <color rgb="FF1A1F26"/>
        <rFont val="Arial"/>
        <family val="0"/>
        <charset val="1"/>
      </rPr>
      <t xml:space="preserve">FTE</t>
    </r>
  </si>
  <si>
    <t xml:space="preserve">有效投入率</t>
  </si>
  <si>
    <r>
      <rPr>
        <sz val="9"/>
        <color rgb="FF5A6672"/>
        <rFont val="Noto Sans CJK SC"/>
        <family val="2"/>
      </rPr>
      <t xml:space="preserve">扣除會議、支援與</t>
    </r>
    <r>
      <rPr>
        <sz val="9"/>
        <color rgb="FF5A6672"/>
        <rFont val="Arial"/>
        <family val="0"/>
        <charset val="1"/>
      </rPr>
      <t xml:space="preserve">context switch </t>
    </r>
    <r>
      <rPr>
        <sz val="9"/>
        <color rgb="FF5A6672"/>
        <rFont val="Noto Sans CJK SC"/>
        <family val="2"/>
      </rPr>
      <t xml:space="preserve">後的實際可投入比例</t>
    </r>
  </si>
  <si>
    <r>
      <rPr>
        <i val="true"/>
        <sz val="9"/>
        <color rgb="FF5A6672"/>
        <rFont val="Noto Sans CJK SC"/>
        <family val="2"/>
      </rPr>
      <t xml:space="preserve">註：可用產能 </t>
    </r>
    <r>
      <rPr>
        <i val="true"/>
        <sz val="9"/>
        <color rgb="FF5A6672"/>
        <rFont val="Arial"/>
        <family val="0"/>
        <charset val="1"/>
      </rPr>
      <t xml:space="preserve">= FTE × </t>
    </r>
    <r>
      <rPr>
        <i val="true"/>
        <sz val="9"/>
        <color rgb="FF5A6672"/>
        <rFont val="Noto Sans CJK SC"/>
        <family val="2"/>
      </rPr>
      <t xml:space="preserve">全期工作日 </t>
    </r>
    <r>
      <rPr>
        <i val="true"/>
        <sz val="9"/>
        <color rgb="FF5A6672"/>
        <rFont val="Arial"/>
        <family val="0"/>
        <charset val="1"/>
      </rPr>
      <t xml:space="preserve">× </t>
    </r>
    <r>
      <rPr>
        <i val="true"/>
        <sz val="9"/>
        <color rgb="FF5A6672"/>
        <rFont val="Noto Sans CJK SC"/>
        <family val="2"/>
      </rPr>
      <t xml:space="preserve">有效投入率；負載率超過 </t>
    </r>
    <r>
      <rPr>
        <i val="true"/>
        <sz val="9"/>
        <color rgb="FF5A6672"/>
        <rFont val="Arial"/>
        <family val="0"/>
        <charset val="1"/>
      </rPr>
      <t xml:space="preserve">100% </t>
    </r>
    <r>
      <rPr>
        <i val="true"/>
        <sz val="9"/>
        <color rgb="FF5A6672"/>
        <rFont val="Noto Sans CJK SC"/>
        <family val="2"/>
      </rPr>
      <t xml:space="preserve">表示該角色需增補人力或調整範圍。</t>
    </r>
  </si>
  <si>
    <r>
      <rPr>
        <b val="true"/>
        <sz val="14"/>
        <color rgb="FF0A0E18"/>
        <rFont val="Noto Sans CJK SC"/>
        <family val="2"/>
      </rPr>
      <t xml:space="preserve">里程碑與通過條件（</t>
    </r>
    <r>
      <rPr>
        <b val="true"/>
        <sz val="14"/>
        <color rgb="FF0A0E18"/>
        <rFont val="Arial"/>
        <family val="0"/>
        <charset val="1"/>
      </rPr>
      <t xml:space="preserve">Gate Criteria</t>
    </r>
    <r>
      <rPr>
        <b val="true"/>
        <sz val="14"/>
        <color rgb="FF0A0E18"/>
        <rFont val="Noto Sans CJK SC"/>
        <family val="2"/>
      </rPr>
      <t xml:space="preserve">）</t>
    </r>
  </si>
  <si>
    <t xml:space="preserve">名稱</t>
  </si>
  <si>
    <t xml:space="preserve">目標日期</t>
  </si>
  <si>
    <r>
      <rPr>
        <b val="true"/>
        <sz val="10"/>
        <color rgb="FFFFFFFF"/>
        <rFont val="Noto Sans CJK SC"/>
        <family val="2"/>
      </rPr>
      <t xml:space="preserve">對應 </t>
    </r>
    <r>
      <rPr>
        <b val="true"/>
        <sz val="10"/>
        <color rgb="FFFFFFFF"/>
        <rFont val="Arial"/>
        <family val="0"/>
        <charset val="1"/>
      </rPr>
      <t xml:space="preserve">Sprint</t>
    </r>
  </si>
  <si>
    <t xml:space="preserve">通過條件（全部滿足才算通過）</t>
  </si>
  <si>
    <r>
      <rPr>
        <b val="true"/>
        <sz val="10"/>
        <color rgb="FFFFFFFF"/>
        <rFont val="Noto Sans CJK SC"/>
        <family val="2"/>
      </rPr>
      <t xml:space="preserve">相關 </t>
    </r>
    <r>
      <rPr>
        <b val="true"/>
        <sz val="10"/>
        <color rgb="FFFFFFFF"/>
        <rFont val="Arial"/>
        <family val="0"/>
        <charset val="1"/>
      </rPr>
      <t xml:space="preserve">WBS</t>
    </r>
  </si>
  <si>
    <t xml:space="preserve">M1</t>
  </si>
  <si>
    <t xml:space="preserve">環境與骨架就緒</t>
  </si>
  <si>
    <r>
      <rPr>
        <sz val="10"/>
        <color rgb="FF1A1F26"/>
        <rFont val="Arial"/>
        <family val="0"/>
        <charset val="1"/>
      </rPr>
      <t xml:space="preserve">CI </t>
    </r>
    <r>
      <rPr>
        <sz val="10"/>
        <color rgb="FF1A1F26"/>
        <rFont val="Noto Sans CJK SC"/>
        <family val="2"/>
      </rPr>
      <t xml:space="preserve">全綠；</t>
    </r>
    <r>
      <rPr>
        <sz val="10"/>
        <color rgb="FF1A1F26"/>
        <rFont val="Arial"/>
        <family val="0"/>
        <charset val="1"/>
      </rPr>
      <t xml:space="preserve">dev/staging </t>
    </r>
    <r>
      <rPr>
        <sz val="10"/>
        <color rgb="FF1A1F26"/>
        <rFont val="Noto Sans CJK SC"/>
        <family val="2"/>
      </rPr>
      <t xml:space="preserve">可一鍵套用 </t>
    </r>
    <r>
      <rPr>
        <sz val="10"/>
        <color rgb="FF1A1F26"/>
        <rFont val="Arial"/>
        <family val="0"/>
        <charset val="1"/>
      </rPr>
      <t xml:space="preserve">migration</t>
    </r>
    <r>
      <rPr>
        <sz val="10"/>
        <color rgb="FF1A1F26"/>
        <rFont val="Noto Sans CJK SC"/>
        <family val="2"/>
      </rPr>
      <t xml:space="preserve">；</t>
    </r>
    <r>
      <rPr>
        <sz val="10"/>
        <color rgb="FF1A1F26"/>
        <rFont val="Arial"/>
        <family val="0"/>
        <charset val="1"/>
      </rPr>
      <t xml:space="preserve">fms_app </t>
    </r>
    <r>
      <rPr>
        <sz val="10"/>
        <color rgb="FF1A1F26"/>
        <rFont val="Noto Sans CJK SC"/>
        <family val="2"/>
      </rPr>
      <t xml:space="preserve">角色確認無 </t>
    </r>
    <r>
      <rPr>
        <sz val="10"/>
        <color rgb="FF1A1F26"/>
        <rFont val="Arial"/>
        <family val="0"/>
        <charset val="1"/>
      </rPr>
      <t xml:space="preserve">BYPASSRLS</t>
    </r>
    <r>
      <rPr>
        <sz val="10"/>
        <color rgb="FF1A1F26"/>
        <rFont val="Noto Sans CJK SC"/>
        <family val="2"/>
      </rPr>
      <t xml:space="preserve">；</t>
    </r>
    <r>
      <rPr>
        <sz val="10"/>
        <color rgb="FF1A1F26"/>
        <rFont val="Arial"/>
        <family val="0"/>
        <charset val="1"/>
      </rPr>
      <t xml:space="preserve">trace </t>
    </r>
    <r>
      <rPr>
        <sz val="10"/>
        <color rgb="FF1A1F26"/>
        <rFont val="Noto Sans CJK SC"/>
        <family val="2"/>
      </rPr>
      <t xml:space="preserve">可依 </t>
    </r>
    <r>
      <rPr>
        <sz val="10"/>
        <color rgb="FF1A1F26"/>
        <rFont val="Arial"/>
        <family val="0"/>
        <charset val="1"/>
      </rPr>
      <t xml:space="preserve">request_id </t>
    </r>
    <r>
      <rPr>
        <sz val="10"/>
        <color rgb="FF1A1F26"/>
        <rFont val="Noto Sans CJK SC"/>
        <family val="2"/>
      </rPr>
      <t xml:space="preserve">追出完整鏈路</t>
    </r>
  </si>
  <si>
    <t xml:space="preserve">1.1–1.9</t>
  </si>
  <si>
    <t xml:space="preserve">M2</t>
  </si>
  <si>
    <t xml:space="preserve">租戶隔離驗證通過</t>
  </si>
  <si>
    <r>
      <rPr>
        <sz val="10"/>
        <color rgb="FF1A1F26"/>
        <rFont val="Arial"/>
        <family val="0"/>
        <charset val="1"/>
      </rPr>
      <t xml:space="preserve">T1 </t>
    </r>
    <r>
      <rPr>
        <sz val="10"/>
        <color rgb="FF1A1F26"/>
        <rFont val="Noto Sans CJK SC"/>
        <family val="2"/>
      </rPr>
      <t xml:space="preserve">隔離斷言通過；未設 </t>
    </r>
    <r>
      <rPr>
        <sz val="10"/>
        <color rgb="FF1A1F26"/>
        <rFont val="Arial"/>
        <family val="0"/>
        <charset val="1"/>
      </rPr>
      <t xml:space="preserve">context </t>
    </r>
    <r>
      <rPr>
        <sz val="10"/>
        <color rgb="FF1A1F26"/>
        <rFont val="Noto Sans CJK SC"/>
        <family val="2"/>
      </rPr>
      <t xml:space="preserve">的查詢回 </t>
    </r>
    <r>
      <rPr>
        <sz val="10"/>
        <color rgb="FF1A1F26"/>
        <rFont val="Arial"/>
        <family val="0"/>
        <charset val="1"/>
      </rPr>
      <t xml:space="preserve">0 </t>
    </r>
    <r>
      <rPr>
        <sz val="10"/>
        <color rgb="FF1A1F26"/>
        <rFont val="Noto Sans CJK SC"/>
        <family val="2"/>
      </rPr>
      <t xml:space="preserve">列（</t>
    </r>
    <r>
      <rPr>
        <sz val="10"/>
        <color rgb="FF1A1F26"/>
        <rFont val="Arial"/>
        <family val="0"/>
        <charset val="1"/>
      </rPr>
      <t xml:space="preserve">CI </t>
    </r>
    <r>
      <rPr>
        <sz val="10"/>
        <color rgb="FF1A1F26"/>
        <rFont val="Noto Sans CJK SC"/>
        <family val="2"/>
      </rPr>
      <t xml:space="preserve">強制）；</t>
    </r>
    <r>
      <rPr>
        <sz val="10"/>
        <color rgb="FF1A1F26"/>
        <rFont val="Arial"/>
        <family val="0"/>
        <charset val="1"/>
      </rPr>
      <t xml:space="preserve">outbox </t>
    </r>
    <r>
      <rPr>
        <sz val="10"/>
        <color rgb="FF1A1F26"/>
        <rFont val="Noto Sans CJK SC"/>
        <family val="2"/>
      </rPr>
      <t xml:space="preserve">關閉 </t>
    </r>
    <r>
      <rPr>
        <sz val="10"/>
        <color rgb="FF1A1F26"/>
        <rFont val="Arial"/>
        <family val="0"/>
        <charset val="1"/>
      </rPr>
      <t xml:space="preserve">worker </t>
    </r>
    <r>
      <rPr>
        <sz val="10"/>
        <color rgb="FF1A1F26"/>
        <rFont val="Noto Sans CJK SC"/>
        <family val="2"/>
      </rPr>
      <t xml:space="preserve">後事件不遺失；分頁與錯誤格式一致性檢查通過</t>
    </r>
  </si>
  <si>
    <t xml:space="preserve">2.1–2.10</t>
  </si>
  <si>
    <t xml:space="preserve">M3</t>
  </si>
  <si>
    <r>
      <rPr>
        <sz val="10"/>
        <color rgb="FF1A1F26"/>
        <rFont val="Noto Sans CJK SC"/>
        <family val="2"/>
      </rPr>
      <t xml:space="preserve">混合式 </t>
    </r>
    <r>
      <rPr>
        <sz val="10"/>
        <color rgb="FF1A1F26"/>
        <rFont val="Arial"/>
        <family val="0"/>
        <charset val="1"/>
      </rPr>
      <t xml:space="preserve">AD </t>
    </r>
    <r>
      <rPr>
        <sz val="10"/>
        <color rgb="FF1A1F26"/>
        <rFont val="Noto Sans CJK SC"/>
        <family val="2"/>
      </rPr>
      <t xml:space="preserve">可登入</t>
    </r>
  </si>
  <si>
    <r>
      <rPr>
        <sz val="10"/>
        <color rgb="FF1A1F26"/>
        <rFont val="Arial"/>
        <family val="0"/>
        <charset val="1"/>
      </rPr>
      <t xml:space="preserve">Entra ID</t>
    </r>
    <r>
      <rPr>
        <sz val="10"/>
        <color rgb="FF1A1F26"/>
        <rFont val="Noto Sans CJK SC"/>
        <family val="2"/>
      </rPr>
      <t xml:space="preserve">、地端 </t>
    </r>
    <r>
      <rPr>
        <sz val="10"/>
        <color rgb="FF1A1F26"/>
        <rFont val="Arial"/>
        <family val="0"/>
        <charset val="1"/>
      </rPr>
      <t xml:space="preserve">AD</t>
    </r>
    <r>
      <rPr>
        <sz val="10"/>
        <color rgb="FF1A1F26"/>
        <rFont val="Noto Sans CJK SC"/>
        <family val="2"/>
      </rPr>
      <t xml:space="preserve">、本地帳號三軌皆可登入；一次 </t>
    </r>
    <r>
      <rPr>
        <sz val="10"/>
        <color rgb="FF1A1F26"/>
        <rFont val="Arial"/>
        <family val="0"/>
        <charset val="1"/>
      </rPr>
      <t xml:space="preserve">FULL + </t>
    </r>
    <r>
      <rPr>
        <sz val="10"/>
        <color rgb="FF1A1F26"/>
        <rFont val="Noto Sans CJK SC"/>
        <family val="2"/>
      </rPr>
      <t xml:space="preserve">一次 </t>
    </r>
    <r>
      <rPr>
        <sz val="10"/>
        <color rgb="FF1A1F26"/>
        <rFont val="Arial"/>
        <family val="0"/>
        <charset val="1"/>
      </rPr>
      <t xml:space="preserve">DELTA </t>
    </r>
    <r>
      <rPr>
        <sz val="10"/>
        <color rgb="FF1A1F26"/>
        <rFont val="Noto Sans CJK SC"/>
        <family val="2"/>
      </rPr>
      <t xml:space="preserve">同步完成；人工指派授權未被同步影響</t>
    </r>
  </si>
  <si>
    <t xml:space="preserve">3.1–3.12</t>
  </si>
  <si>
    <t xml:space="preserve">M4</t>
  </si>
  <si>
    <t xml:space="preserve">空間與資產可用</t>
  </si>
  <si>
    <r>
      <rPr>
        <sz val="10"/>
        <color rgb="FF1A1F26"/>
        <rFont val="Arial"/>
        <family val="0"/>
        <charset val="1"/>
      </rPr>
      <t xml:space="preserve">1 </t>
    </r>
    <r>
      <rPr>
        <sz val="10"/>
        <color rgb="FF1A1F26"/>
        <rFont val="Noto Sans CJK SC"/>
        <family val="2"/>
      </rPr>
      <t xml:space="preserve">萬節點 </t>
    </r>
    <r>
      <rPr>
        <sz val="10"/>
        <color rgb="FF1A1F26"/>
        <rFont val="Arial"/>
        <family val="0"/>
        <charset val="1"/>
      </rPr>
      <t xml:space="preserve">tree </t>
    </r>
    <r>
      <rPr>
        <sz val="10"/>
        <color rgb="FF1A1F26"/>
        <rFont val="Noto Sans CJK SC"/>
        <family val="2"/>
      </rPr>
      <t xml:space="preserve">查詢 </t>
    </r>
    <r>
      <rPr>
        <sz val="10"/>
        <color rgb="FF1A1F26"/>
        <rFont val="Arial"/>
        <family val="0"/>
        <charset val="1"/>
      </rPr>
      <t xml:space="preserve">P95 &lt; 500 ms</t>
    </r>
    <r>
      <rPr>
        <sz val="10"/>
        <color rgb="FF1A1F26"/>
        <rFont val="Noto Sans CJK SC"/>
        <family val="2"/>
      </rPr>
      <t xml:space="preserve">；</t>
    </r>
    <r>
      <rPr>
        <sz val="10"/>
        <color rgb="FF1A1F26"/>
        <rFont val="Arial"/>
        <family val="0"/>
        <charset val="1"/>
      </rPr>
      <t xml:space="preserve">2 </t>
    </r>
    <r>
      <rPr>
        <sz val="10"/>
        <color rgb="FF1A1F26"/>
        <rFont val="Noto Sans CJK SC"/>
        <family val="2"/>
      </rPr>
      <t xml:space="preserve">萬設備列表 </t>
    </r>
    <r>
      <rPr>
        <sz val="10"/>
        <color rgb="FF1A1F26"/>
        <rFont val="Arial"/>
        <family val="0"/>
        <charset val="1"/>
      </rPr>
      <t xml:space="preserve">P95 &lt; 300 ms</t>
    </r>
    <r>
      <rPr>
        <sz val="10"/>
        <color rgb="FF1A1F26"/>
        <rFont val="Noto Sans CJK SC"/>
        <family val="2"/>
      </rPr>
      <t xml:space="preserve">；</t>
    </r>
    <r>
      <rPr>
        <sz val="10"/>
        <color rgb="FF1A1F26"/>
        <rFont val="Arial"/>
        <family val="0"/>
        <charset val="1"/>
      </rPr>
      <t xml:space="preserve">BIM </t>
    </r>
    <r>
      <rPr>
        <sz val="10"/>
        <color rgb="FF1A1F26"/>
        <rFont val="Noto Sans CJK SC"/>
        <family val="2"/>
      </rPr>
      <t xml:space="preserve">未識別元件可人工對應；</t>
    </r>
    <r>
      <rPr>
        <sz val="10"/>
        <color rgb="FF1A1F26"/>
        <rFont val="Arial"/>
        <family val="0"/>
        <charset val="1"/>
      </rPr>
      <t xml:space="preserve">Lovable </t>
    </r>
    <r>
      <rPr>
        <sz val="10"/>
        <color rgb="FF1A1F26"/>
        <rFont val="Noto Sans CJK SC"/>
        <family val="2"/>
      </rPr>
      <t xml:space="preserve">資產匯入差異報告經客戶確認</t>
    </r>
  </si>
  <si>
    <t xml:space="preserve">4.1–4.11</t>
  </si>
  <si>
    <t xml:space="preserve">M5</t>
  </si>
  <si>
    <r>
      <rPr>
        <sz val="10"/>
        <color rgb="FF1A1F26"/>
        <rFont val="Noto Sans CJK SC"/>
        <family val="2"/>
      </rPr>
      <t xml:space="preserve">工單與 </t>
    </r>
    <r>
      <rPr>
        <sz val="10"/>
        <color rgb="FF1A1F26"/>
        <rFont val="Arial"/>
        <family val="0"/>
        <charset val="1"/>
      </rPr>
      <t xml:space="preserve">SLA </t>
    </r>
    <r>
      <rPr>
        <sz val="10"/>
        <color rgb="FF1A1F26"/>
        <rFont val="Noto Sans CJK SC"/>
        <family val="2"/>
      </rPr>
      <t xml:space="preserve">上線</t>
    </r>
  </si>
  <si>
    <r>
      <rPr>
        <sz val="10"/>
        <color rgb="FF1A1F26"/>
        <rFont val="Arial"/>
        <family val="0"/>
        <charset val="1"/>
      </rPr>
      <t xml:space="preserve">T3 </t>
    </r>
    <r>
      <rPr>
        <sz val="10"/>
        <color rgb="FF1A1F26"/>
        <rFont val="Noto Sans CJK SC"/>
        <family val="2"/>
      </rPr>
      <t xml:space="preserve">狀態機斷言通過；狀態機路徑覆蓋 </t>
    </r>
    <r>
      <rPr>
        <sz val="10"/>
        <color rgb="FF1A1F26"/>
        <rFont val="Arial"/>
        <family val="0"/>
        <charset val="1"/>
      </rPr>
      <t xml:space="preserve">100%</t>
    </r>
    <r>
      <rPr>
        <sz val="10"/>
        <color rgb="FF1A1F26"/>
        <rFont val="Noto Sans CJK SC"/>
        <family val="2"/>
      </rPr>
      <t xml:space="preserve">；逾期案件 </t>
    </r>
    <r>
      <rPr>
        <sz val="10"/>
        <color rgb="FF1A1F26"/>
        <rFont val="Arial"/>
        <family val="0"/>
        <charset val="1"/>
      </rPr>
      <t xml:space="preserve">1 </t>
    </r>
    <r>
      <rPr>
        <sz val="10"/>
        <color rgb="FF1A1F26"/>
        <rFont val="Noto Sans CJK SC"/>
        <family val="2"/>
      </rPr>
      <t xml:space="preserve">分鐘內標記；</t>
    </r>
    <r>
      <rPr>
        <sz val="10"/>
        <color rgb="FF1A1F26"/>
        <rFont val="Arial"/>
        <family val="0"/>
        <charset val="1"/>
      </rPr>
      <t xml:space="preserve">available-actions </t>
    </r>
    <r>
      <rPr>
        <sz val="10"/>
        <color rgb="FF1A1F26"/>
        <rFont val="Noto Sans CJK SC"/>
        <family val="2"/>
      </rPr>
      <t xml:space="preserve">可驅動前端按鈕</t>
    </r>
  </si>
  <si>
    <t xml:space="preserve">5.1–5.11</t>
  </si>
  <si>
    <t xml:space="preserve">M6</t>
  </si>
  <si>
    <r>
      <rPr>
        <sz val="10"/>
        <color rgb="FF1A1F26"/>
        <rFont val="Arial"/>
        <family val="0"/>
        <charset val="1"/>
      </rPr>
      <t xml:space="preserve">Soft FM </t>
    </r>
    <r>
      <rPr>
        <sz val="10"/>
        <color rgb="FF1A1F26"/>
        <rFont val="Noto Sans CJK SC"/>
        <family val="2"/>
      </rPr>
      <t xml:space="preserve">與 </t>
    </r>
    <r>
      <rPr>
        <sz val="10"/>
        <color rgb="FF1A1F26"/>
        <rFont val="Arial"/>
        <family val="0"/>
        <charset val="1"/>
      </rPr>
      <t xml:space="preserve">PM </t>
    </r>
    <r>
      <rPr>
        <sz val="10"/>
        <color rgb="FF1A1F26"/>
        <rFont val="Noto Sans CJK SC"/>
        <family val="2"/>
      </rPr>
      <t xml:space="preserve">可用</t>
    </r>
  </si>
  <si>
    <r>
      <rPr>
        <sz val="10"/>
        <color rgb="FF1A1F26"/>
        <rFont val="Noto Sans CJK SC"/>
        <family val="2"/>
      </rPr>
      <t xml:space="preserve">動態表單驗證回報 </t>
    </r>
    <r>
      <rPr>
        <sz val="10"/>
        <color rgb="FF1A1F26"/>
        <rFont val="Arial"/>
        <family val="0"/>
        <charset val="1"/>
      </rPr>
      <t xml:space="preserve">JSON Pointer</t>
    </r>
    <r>
      <rPr>
        <sz val="10"/>
        <color rgb="FF1A1F26"/>
        <rFont val="Noto Sans CJK SC"/>
        <family val="2"/>
      </rPr>
      <t xml:space="preserve">；</t>
    </r>
    <r>
      <rPr>
        <sz val="10"/>
        <color rgb="FF1A1F26"/>
        <rFont val="Arial"/>
        <family val="0"/>
        <charset val="1"/>
      </rPr>
      <t xml:space="preserve">pm-generator </t>
    </r>
    <r>
      <rPr>
        <sz val="10"/>
        <color rgb="FF1A1F26"/>
        <rFont val="Noto Sans CJK SC"/>
        <family val="2"/>
      </rPr>
      <t xml:space="preserve">重跑不重複產單；</t>
    </r>
    <r>
      <rPr>
        <sz val="10"/>
        <color rgb="FF1A1F26"/>
        <rFont val="Arial"/>
        <family val="0"/>
        <charset val="1"/>
      </rPr>
      <t xml:space="preserve">PM </t>
    </r>
    <r>
      <rPr>
        <sz val="10"/>
        <color rgb="FF1A1F26"/>
        <rFont val="Noto Sans CJK SC"/>
        <family val="2"/>
      </rPr>
      <t xml:space="preserve">合規率與人工抽樣一致</t>
    </r>
  </si>
  <si>
    <t xml:space="preserve">6.1–6.10</t>
  </si>
  <si>
    <t xml:space="preserve">M7</t>
  </si>
  <si>
    <t xml:space="preserve">預約併發驗證通過</t>
  </si>
  <si>
    <r>
      <rPr>
        <sz val="10"/>
        <color rgb="FF1A1F26"/>
        <rFont val="Arial"/>
        <family val="0"/>
        <charset val="1"/>
      </rPr>
      <t xml:space="preserve">T2 </t>
    </r>
    <r>
      <rPr>
        <sz val="10"/>
        <color rgb="FF1A1F26"/>
        <rFont val="Noto Sans CJK SC"/>
        <family val="2"/>
      </rPr>
      <t xml:space="preserve">斷言通過；</t>
    </r>
    <r>
      <rPr>
        <sz val="10"/>
        <color rgb="FF1A1F26"/>
        <rFont val="Arial"/>
        <family val="0"/>
        <charset val="1"/>
      </rPr>
      <t xml:space="preserve">100 </t>
    </r>
    <r>
      <rPr>
        <sz val="10"/>
        <color rgb="FF1A1F26"/>
        <rFont val="Noto Sans CJK SC"/>
        <family val="2"/>
      </rPr>
      <t xml:space="preserve">執行緒搶訂恰好一筆成功；附加服務 </t>
    </r>
    <r>
      <rPr>
        <sz val="10"/>
        <color rgb="FF1A1F26"/>
        <rFont val="Arial"/>
        <family val="0"/>
        <charset val="1"/>
      </rPr>
      <t xml:space="preserve">fan-out </t>
    </r>
    <r>
      <rPr>
        <sz val="10"/>
        <color rgb="FF1A1F26"/>
        <rFont val="Noto Sans CJK SC"/>
        <family val="2"/>
      </rPr>
      <t xml:space="preserve">可重試補齊；未報到自動釋放</t>
    </r>
  </si>
  <si>
    <t xml:space="preserve">7.1–7.10</t>
  </si>
  <si>
    <t xml:space="preserve">M8</t>
  </si>
  <si>
    <t xml:space="preserve">核心功能交付（對標補強前）</t>
  </si>
  <si>
    <t xml:space="preserve">S7–S8</t>
  </si>
  <si>
    <r>
      <rPr>
        <sz val="10"/>
        <color rgb="FF1A1F26"/>
        <rFont val="Arial"/>
        <family val="0"/>
        <charset val="1"/>
      </rPr>
      <t xml:space="preserve">T4 </t>
    </r>
    <r>
      <rPr>
        <sz val="10"/>
        <color rgb="FF1A1F26"/>
        <rFont val="Noto Sans CJK SC"/>
        <family val="2"/>
      </rPr>
      <t xml:space="preserve">斷言通過；</t>
    </r>
    <r>
      <rPr>
        <sz val="10"/>
        <color rgb="FF1A1F26"/>
        <rFont val="Arial"/>
        <family val="0"/>
        <charset val="1"/>
      </rPr>
      <t xml:space="preserve">23 </t>
    </r>
    <r>
      <rPr>
        <sz val="10"/>
        <color rgb="FF1A1F26"/>
        <rFont val="Noto Sans CJK SC"/>
        <family val="2"/>
      </rPr>
      <t xml:space="preserve">筆孤兒告警補串完成；全部 </t>
    </r>
    <r>
      <rPr>
        <sz val="10"/>
        <color rgb="FF1A1F26"/>
        <rFont val="Arial"/>
        <family val="0"/>
        <charset val="1"/>
      </rPr>
      <t xml:space="preserve">NFR </t>
    </r>
    <r>
      <rPr>
        <sz val="10"/>
        <color rgb="FF1A1F26"/>
        <rFont val="Noto Sans CJK SC"/>
        <family val="2"/>
      </rPr>
      <t xml:space="preserve">效能目標達成；資安高風險項全部修復；</t>
    </r>
    <r>
      <rPr>
        <sz val="10"/>
        <color rgb="FF1A1F26"/>
        <rFont val="Arial"/>
        <family val="0"/>
        <charset val="1"/>
      </rPr>
      <t xml:space="preserve">TS client </t>
    </r>
    <r>
      <rPr>
        <sz val="10"/>
        <color rgb="FF1A1F26"/>
        <rFont val="Noto Sans CJK SC"/>
        <family val="2"/>
      </rPr>
      <t xml:space="preserve">跑通端到端流程；</t>
    </r>
    <r>
      <rPr>
        <sz val="10"/>
        <color rgb="FF1A1F26"/>
        <rFont val="Arial"/>
        <family val="0"/>
        <charset val="1"/>
      </rPr>
      <t xml:space="preserve">PITR </t>
    </r>
    <r>
      <rPr>
        <sz val="10"/>
        <color rgb="FF1A1F26"/>
        <rFont val="Noto Sans CJK SC"/>
        <family val="2"/>
      </rPr>
      <t xml:space="preserve">演練達 </t>
    </r>
    <r>
      <rPr>
        <sz val="10"/>
        <color rgb="FF1A1F26"/>
        <rFont val="Arial"/>
        <family val="0"/>
        <charset val="1"/>
      </rPr>
      <t xml:space="preserve">RPO/RTO</t>
    </r>
    <r>
      <rPr>
        <sz val="10"/>
        <color rgb="FF1A1F26"/>
        <rFont val="Noto Sans CJK SC"/>
        <family val="2"/>
      </rPr>
      <t xml:space="preserve">；上線檢查表全數通過</t>
    </r>
  </si>
  <si>
    <t xml:space="preserve">8.1–9.11</t>
  </si>
  <si>
    <t xml:space="preserve">M9</t>
  </si>
  <si>
    <r>
      <rPr>
        <sz val="10"/>
        <color rgb="FF1A1F26"/>
        <rFont val="Arial"/>
        <family val="0"/>
        <charset val="1"/>
      </rPr>
      <t xml:space="preserve">Offision </t>
    </r>
    <r>
      <rPr>
        <sz val="10"/>
        <color rgb="FF1A1F26"/>
        <rFont val="Noto Sans CJK SC"/>
        <family val="2"/>
      </rPr>
      <t xml:space="preserve">功能對標達成</t>
    </r>
  </si>
  <si>
    <t xml:space="preserve">S9–S10</t>
  </si>
  <si>
    <r>
      <rPr>
        <sz val="10"/>
        <color rgb="FF1A1F26"/>
        <rFont val="Arial"/>
        <family val="0"/>
        <charset val="1"/>
      </rPr>
      <t xml:space="preserve">012 </t>
    </r>
    <r>
      <rPr>
        <sz val="10"/>
        <color rgb="FF1A1F26"/>
        <rFont val="Noto Sans CJK SC"/>
        <family val="2"/>
      </rPr>
      <t xml:space="preserve">煙霧測試 </t>
    </r>
    <r>
      <rPr>
        <sz val="10"/>
        <color rgb="FF1A1F26"/>
        <rFont val="Arial"/>
        <family val="0"/>
        <charset val="1"/>
      </rPr>
      <t xml:space="preserve">T5–T10 </t>
    </r>
    <r>
      <rPr>
        <sz val="10"/>
        <color rgb="FF1A1F26"/>
        <rFont val="Noto Sans CJK SC"/>
        <family val="2"/>
      </rPr>
      <t xml:space="preserve">全部通過；合併房間雙向互斥經併發測試驗證；配額硬上限正確拒絕；訪客 </t>
    </r>
    <r>
      <rPr>
        <sz val="10"/>
        <color rgb="FF1A1F26"/>
        <rFont val="Arial"/>
        <family val="0"/>
        <charset val="1"/>
      </rPr>
      <t xml:space="preserve">QR </t>
    </r>
    <r>
      <rPr>
        <sz val="10"/>
        <color rgb="FF1A1F26"/>
        <rFont val="Noto Sans CJK SC"/>
        <family val="2"/>
      </rPr>
      <t xml:space="preserve">報到與門禁開門全鏈路可回溯；</t>
    </r>
    <r>
      <rPr>
        <sz val="10"/>
        <color rgb="FF1A1F26"/>
        <rFont val="Arial"/>
        <family val="0"/>
        <charset val="1"/>
      </rPr>
      <t xml:space="preserve">Teams </t>
    </r>
    <r>
      <rPr>
        <sz val="10"/>
        <color rgb="FF1A1F26"/>
        <rFont val="Noto Sans CJK SC"/>
        <family val="2"/>
      </rPr>
      <t xml:space="preserve">連結自動建立；面板即場預約可用</t>
    </r>
  </si>
  <si>
    <t xml:space="preserve">10.1–11.8</t>
  </si>
  <si>
    <t xml:space="preserve">M10</t>
  </si>
  <si>
    <r>
      <rPr>
        <sz val="10"/>
        <color rgb="FF1A1F26"/>
        <rFont val="Noto Sans CJK SC"/>
        <family val="2"/>
      </rPr>
      <t xml:space="preserve">全功能交付（含全部 </t>
    </r>
    <r>
      <rPr>
        <sz val="10"/>
        <color rgb="FF1A1F26"/>
        <rFont val="Arial"/>
        <family val="0"/>
        <charset val="1"/>
      </rPr>
      <t xml:space="preserve">P2</t>
    </r>
    <r>
      <rPr>
        <sz val="10"/>
        <color rgb="FF1A1F26"/>
        <rFont val="Noto Sans CJK SC"/>
        <family val="2"/>
      </rPr>
      <t xml:space="preserve">）</t>
    </r>
  </si>
  <si>
    <t xml:space="preserve">S11–S12</t>
  </si>
  <si>
    <r>
      <rPr>
        <sz val="10"/>
        <color rgb="FF1A1F26"/>
        <rFont val="Noto Sans CJK SC"/>
        <family val="2"/>
      </rPr>
      <t xml:space="preserve">四家視訊平台連結皆可建立；行事曆雙向同步含衝突處理；</t>
    </r>
    <r>
      <rPr>
        <sz val="10"/>
        <color rgb="FF1A1F26"/>
        <rFont val="Arial"/>
        <family val="0"/>
        <charset val="1"/>
      </rPr>
      <t xml:space="preserve">AI </t>
    </r>
    <r>
      <rPr>
        <sz val="10"/>
        <color rgb="FF1A1F26"/>
        <rFont val="Noto Sans CJK SC"/>
        <family val="2"/>
      </rPr>
      <t xml:space="preserve">查詢受白名單與 </t>
    </r>
    <r>
      <rPr>
        <sz val="10"/>
        <color rgb="FF1A1F26"/>
        <rFont val="Arial"/>
        <family val="0"/>
        <charset val="1"/>
      </rPr>
      <t xml:space="preserve">RLS </t>
    </r>
    <r>
      <rPr>
        <sz val="10"/>
        <color rgb="FF1A1F26"/>
        <rFont val="Noto Sans CJK SC"/>
        <family val="2"/>
      </rPr>
      <t xml:space="preserve">雙重約束且無法跨租戶；活動管理可一次佔用多空間；</t>
    </r>
    <r>
      <rPr>
        <sz val="10"/>
        <color rgb="FF1A1F26"/>
        <rFont val="Arial"/>
        <family val="0"/>
        <charset val="1"/>
      </rPr>
      <t xml:space="preserve">T1–T10 </t>
    </r>
    <r>
      <rPr>
        <sz val="10"/>
        <color rgb="FF1A1F26"/>
        <rFont val="Noto Sans CJK SC"/>
        <family val="2"/>
      </rPr>
      <t xml:space="preserve">全綠；對照矩陣逐項覆核一致；第二輪資安檢視無高風險項</t>
    </r>
  </si>
  <si>
    <t xml:space="preserve">12.1–13.7</t>
  </si>
  <si>
    <t xml:space="preserve">估算假設、人力配置與主要風險</t>
  </si>
  <si>
    <t xml:space="preserve">估算假設</t>
  </si>
  <si>
    <t xml:space="preserve">估算單位</t>
  </si>
  <si>
    <r>
      <rPr>
        <sz val="10"/>
        <color rgb="FF1A1F26"/>
        <rFont val="Noto Sans CJK SC"/>
        <family val="2"/>
      </rPr>
      <t xml:space="preserve">人日（</t>
    </r>
    <r>
      <rPr>
        <sz val="10"/>
        <color rgb="FF1A1F26"/>
        <rFont val="Arial"/>
        <family val="0"/>
        <charset val="1"/>
      </rPr>
      <t xml:space="preserve">8 </t>
    </r>
    <r>
      <rPr>
        <sz val="10"/>
        <color rgb="FF1A1F26"/>
        <rFont val="Noto Sans CJK SC"/>
        <family val="2"/>
      </rPr>
      <t xml:space="preserve">小時）；為淨開發工時，不含跨團隊等待與客戶回覆時間</t>
    </r>
  </si>
  <si>
    <t xml:space="preserve">開發環境</t>
  </si>
  <si>
    <r>
      <rPr>
        <sz val="10"/>
        <color rgb="FF1A1F26"/>
        <rFont val="Noto Sans CJK SC"/>
        <family val="2"/>
      </rPr>
      <t xml:space="preserve">自建 </t>
    </r>
    <r>
      <rPr>
        <sz val="10"/>
        <color rgb="FF1A1F26"/>
        <rFont val="Arial"/>
        <family val="0"/>
        <charset val="1"/>
      </rPr>
      <t xml:space="preserve">PostgreSQL 16</t>
    </r>
    <r>
      <rPr>
        <sz val="10"/>
        <color rgb="FF1A1F26"/>
        <rFont val="Noto Sans CJK SC"/>
        <family val="2"/>
      </rPr>
      <t xml:space="preserve">（</t>
    </r>
    <r>
      <rPr>
        <sz val="10"/>
        <color rgb="FF1A1F26"/>
        <rFont val="Arial"/>
        <family val="0"/>
        <charset val="1"/>
      </rPr>
      <t xml:space="preserve">Docker Compose</t>
    </r>
    <r>
      <rPr>
        <sz val="10"/>
        <color rgb="FF1A1F26"/>
        <rFont val="Noto Sans CJK SC"/>
        <family val="2"/>
      </rPr>
      <t xml:space="preserve">：</t>
    </r>
    <r>
      <rPr>
        <sz val="10"/>
        <color rgb="FF1A1F26"/>
        <rFont val="Arial"/>
        <family val="0"/>
        <charset val="1"/>
      </rPr>
      <t xml:space="preserve">PG</t>
    </r>
    <r>
      <rPr>
        <sz val="10"/>
        <color rgb="FF1A1F26"/>
        <rFont val="Noto Sans CJK SC"/>
        <family val="2"/>
      </rPr>
      <t xml:space="preserve">＋</t>
    </r>
    <r>
      <rPr>
        <sz val="10"/>
        <color rgb="FF1A1F26"/>
        <rFont val="Arial"/>
        <family val="0"/>
        <charset val="1"/>
      </rPr>
      <t xml:space="preserve">Redis</t>
    </r>
    <r>
      <rPr>
        <sz val="10"/>
        <color rgb="FF1A1F26"/>
        <rFont val="Noto Sans CJK SC"/>
        <family val="2"/>
      </rPr>
      <t xml:space="preserve">＋</t>
    </r>
    <r>
      <rPr>
        <sz val="10"/>
        <color rgb="FF1A1F26"/>
        <rFont val="Arial"/>
        <family val="0"/>
        <charset val="1"/>
      </rPr>
      <t xml:space="preserve">MinIO</t>
    </r>
    <r>
      <rPr>
        <sz val="10"/>
        <color rgb="FF1A1F26"/>
        <rFont val="Noto Sans CJK SC"/>
        <family val="2"/>
      </rPr>
      <t xml:space="preserve">＋</t>
    </r>
    <r>
      <rPr>
        <sz val="10"/>
        <color rgb="FF1A1F26"/>
        <rFont val="Arial"/>
        <family val="0"/>
        <charset val="1"/>
      </rPr>
      <t xml:space="preserve">Mailpit</t>
    </r>
    <r>
      <rPr>
        <sz val="10"/>
        <color rgb="FF1A1F26"/>
        <rFont val="Noto Sans CJK SC"/>
        <family val="2"/>
      </rPr>
      <t xml:space="preserve">＋</t>
    </r>
    <r>
      <rPr>
        <sz val="10"/>
        <color rgb="FF1A1F26"/>
        <rFont val="Arial"/>
        <family val="0"/>
        <charset val="1"/>
      </rPr>
      <t xml:space="preserve">MQTT</t>
    </r>
    <r>
      <rPr>
        <sz val="10"/>
        <color rgb="FF1A1F26"/>
        <rFont val="Noto Sans CJK SC"/>
        <family val="2"/>
      </rPr>
      <t xml:space="preserve">），不使用託管服務；</t>
    </r>
    <r>
      <rPr>
        <sz val="10"/>
        <color rgb="FF1A1F26"/>
        <rFont val="Arial"/>
        <family val="0"/>
        <charset val="1"/>
      </rPr>
      <t xml:space="preserve">staging</t>
    </r>
    <r>
      <rPr>
        <sz val="10"/>
        <color rgb="FF1A1F26"/>
        <rFont val="Noto Sans CJK SC"/>
        <family val="2"/>
      </rPr>
      <t xml:space="preserve">／</t>
    </r>
    <r>
      <rPr>
        <sz val="10"/>
        <color rgb="FF1A1F26"/>
        <rFont val="Arial"/>
        <family val="0"/>
        <charset val="1"/>
      </rPr>
      <t xml:space="preserve">production </t>
    </r>
    <r>
      <rPr>
        <sz val="10"/>
        <color rgb="FF1A1F26"/>
        <rFont val="Noto Sans CJK SC"/>
        <family val="2"/>
      </rPr>
      <t xml:space="preserve">為專用主機或 </t>
    </r>
    <r>
      <rPr>
        <sz val="10"/>
        <color rgb="FF1A1F26"/>
        <rFont val="Arial"/>
        <family val="0"/>
        <charset val="1"/>
      </rPr>
      <t xml:space="preserve">VM</t>
    </r>
  </si>
  <si>
    <t xml:space="preserve">範圍決策</t>
  </si>
  <si>
    <r>
      <rPr>
        <sz val="10"/>
        <color rgb="FF1A1F26"/>
        <rFont val="Noto Sans CJK SC"/>
        <family val="2"/>
      </rPr>
      <t xml:space="preserve">客戶決定延長時程以保後台功能完整，不砍 </t>
    </r>
    <r>
      <rPr>
        <sz val="10"/>
        <color rgb="FF1A1F26"/>
        <rFont val="Arial"/>
        <family val="0"/>
        <charset val="1"/>
      </rPr>
      <t xml:space="preserve">P2</t>
    </r>
    <r>
      <rPr>
        <sz val="10"/>
        <color rgb="FF1A1F26"/>
        <rFont val="Noto Sans CJK SC"/>
        <family val="2"/>
      </rPr>
      <t xml:space="preserve">。原 </t>
    </r>
    <r>
      <rPr>
        <sz val="10"/>
        <color rgb="FF1A1F26"/>
        <rFont val="Arial"/>
        <family val="0"/>
        <charset val="1"/>
      </rPr>
      <t xml:space="preserve">21 </t>
    </r>
    <r>
      <rPr>
        <sz val="10"/>
        <color rgb="FF1A1F26"/>
        <rFont val="Noto Sans CJK SC"/>
        <family val="2"/>
      </rPr>
      <t xml:space="preserve">人日的延後項目（</t>
    </r>
    <r>
      <rPr>
        <sz val="10"/>
        <color rgb="FF1A1F26"/>
        <rFont val="Arial"/>
        <family val="0"/>
        <charset val="1"/>
      </rPr>
      <t xml:space="preserve">Meet</t>
    </r>
    <r>
      <rPr>
        <sz val="10"/>
        <color rgb="FF1A1F26"/>
        <rFont val="Noto Sans CJK SC"/>
        <family val="2"/>
      </rPr>
      <t xml:space="preserve">／</t>
    </r>
    <r>
      <rPr>
        <sz val="10"/>
        <color rgb="FF1A1F26"/>
        <rFont val="Arial"/>
        <family val="0"/>
        <charset val="1"/>
      </rPr>
      <t xml:space="preserve">Zoom</t>
    </r>
    <r>
      <rPr>
        <sz val="10"/>
        <color rgb="FF1A1F26"/>
        <rFont val="Noto Sans CJK SC"/>
        <family val="2"/>
      </rPr>
      <t xml:space="preserve">／</t>
    </r>
    <r>
      <rPr>
        <sz val="10"/>
        <color rgb="FF1A1F26"/>
        <rFont val="Arial"/>
        <family val="0"/>
        <charset val="1"/>
      </rPr>
      <t xml:space="preserve">Webex</t>
    </r>
    <r>
      <rPr>
        <sz val="10"/>
        <color rgb="FF1A1F26"/>
        <rFont val="Noto Sans CJK SC"/>
        <family val="2"/>
      </rPr>
      <t xml:space="preserve">、行事曆雙向同步、</t>
    </r>
    <r>
      <rPr>
        <sz val="10"/>
        <color rgb="FF1A1F26"/>
        <rFont val="Arial"/>
        <family val="0"/>
        <charset val="1"/>
      </rPr>
      <t xml:space="preserve">AI </t>
    </r>
    <r>
      <rPr>
        <sz val="10"/>
        <color rgb="FF1A1F26"/>
        <rFont val="Noto Sans CJK SC"/>
        <family val="2"/>
      </rPr>
      <t xml:space="preserve">查詢）已全部納入 </t>
    </r>
    <r>
      <rPr>
        <sz val="10"/>
        <color rgb="FF1A1F26"/>
        <rFont val="Arial"/>
        <family val="0"/>
        <charset val="1"/>
      </rPr>
      <t xml:space="preserve">S11–S12</t>
    </r>
  </si>
  <si>
    <r>
      <rPr>
        <b val="true"/>
        <sz val="10"/>
        <color rgb="FF1A1F26"/>
        <rFont val="Arial"/>
        <family val="0"/>
        <charset val="1"/>
      </rPr>
      <t xml:space="preserve">Sprint </t>
    </r>
    <r>
      <rPr>
        <b val="true"/>
        <sz val="10"/>
        <color rgb="FF1A1F26"/>
        <rFont val="Noto Sans CJK SC"/>
        <family val="2"/>
      </rPr>
      <t xml:space="preserve">長度</t>
    </r>
  </si>
  <si>
    <r>
      <rPr>
        <sz val="10"/>
        <color rgb="FF1A1F26"/>
        <rFont val="Arial"/>
        <family val="0"/>
        <charset val="1"/>
      </rPr>
      <t xml:space="preserve">2 </t>
    </r>
    <r>
      <rPr>
        <sz val="10"/>
        <color rgb="FF1A1F26"/>
        <rFont val="Noto Sans CJK SC"/>
        <family val="2"/>
      </rPr>
      <t xml:space="preserve">週 </t>
    </r>
    <r>
      <rPr>
        <sz val="10"/>
        <color rgb="FF1A1F26"/>
        <rFont val="Arial"/>
        <family val="0"/>
        <charset val="1"/>
      </rPr>
      <t xml:space="preserve">= 10 </t>
    </r>
    <r>
      <rPr>
        <sz val="10"/>
        <color rgb="FF1A1F26"/>
        <rFont val="Noto Sans CJK SC"/>
        <family val="2"/>
      </rPr>
      <t xml:space="preserve">個工作日；未扣除國定假日，排程時需再校準</t>
    </r>
  </si>
  <si>
    <t xml:space="preserve">團隊規模</t>
  </si>
  <si>
    <r>
      <rPr>
        <sz val="10"/>
        <color rgb="FF1A1F26"/>
        <rFont val="Noto Sans CJK SC"/>
        <family val="2"/>
      </rPr>
      <t xml:space="preserve">合計約 </t>
    </r>
    <r>
      <rPr>
        <sz val="10"/>
        <color rgb="FF1A1F26"/>
        <rFont val="Arial"/>
        <family val="0"/>
        <charset val="1"/>
      </rPr>
      <t xml:space="preserve">4.8 FTE</t>
    </r>
    <r>
      <rPr>
        <sz val="10"/>
        <color rgb="FF1A1F26"/>
        <rFont val="Noto Sans CJK SC"/>
        <family val="2"/>
      </rPr>
      <t xml:space="preserve">（詳見「資源負載」工作表下方可調整的 </t>
    </r>
    <r>
      <rPr>
        <sz val="10"/>
        <color rgb="FF1A1F26"/>
        <rFont val="Arial"/>
        <family val="0"/>
        <charset val="1"/>
      </rPr>
      <t xml:space="preserve">FTE </t>
    </r>
    <r>
      <rPr>
        <sz val="10"/>
        <color rgb="FF1A1F26"/>
        <rFont val="Noto Sans CJK SC"/>
        <family val="2"/>
      </rPr>
      <t xml:space="preserve">假設）</t>
    </r>
  </si>
  <si>
    <t xml:space="preserve">估算方式</t>
  </si>
  <si>
    <r>
      <rPr>
        <sz val="10"/>
        <color rgb="FF1A1F26"/>
        <rFont val="Noto Sans CJK SC"/>
        <family val="2"/>
      </rPr>
      <t xml:space="preserve">以類比估算為主；資料庫與 </t>
    </r>
    <r>
      <rPr>
        <sz val="10"/>
        <color rgb="FF1A1F26"/>
        <rFont val="Arial"/>
        <family val="0"/>
        <charset val="1"/>
      </rPr>
      <t xml:space="preserve">API </t>
    </r>
    <r>
      <rPr>
        <sz val="10"/>
        <color rgb="FF1A1F26"/>
        <rFont val="Noto Sans CJK SC"/>
        <family val="2"/>
      </rPr>
      <t xml:space="preserve">任務已含單元測試與 </t>
    </r>
    <r>
      <rPr>
        <sz val="10"/>
        <color rgb="FF1A1F26"/>
        <rFont val="Arial"/>
        <family val="0"/>
        <charset val="1"/>
      </rPr>
      <t xml:space="preserve">code review </t>
    </r>
    <r>
      <rPr>
        <sz val="10"/>
        <color rgb="FF1A1F26"/>
        <rFont val="Noto Sans CJK SC"/>
        <family val="2"/>
      </rPr>
      <t xml:space="preserve">時間</t>
    </r>
  </si>
  <si>
    <t xml:space="preserve">緩衝</t>
  </si>
  <si>
    <r>
      <rPr>
        <sz val="10"/>
        <color rgb="FF1A1F26"/>
        <rFont val="Noto Sans CJK SC"/>
        <family val="2"/>
      </rPr>
      <t xml:space="preserve">各 </t>
    </r>
    <r>
      <rPr>
        <sz val="10"/>
        <color rgb="FF1A1F26"/>
        <rFont val="Arial"/>
        <family val="0"/>
        <charset val="1"/>
      </rPr>
      <t xml:space="preserve">Sprint </t>
    </r>
    <r>
      <rPr>
        <sz val="10"/>
        <color rgb="FF1A1F26"/>
        <rFont val="Noto Sans CJK SC"/>
        <family val="2"/>
      </rPr>
      <t xml:space="preserve">未內含緩衝；建議以 </t>
    </r>
    <r>
      <rPr>
        <sz val="10"/>
        <color rgb="FF1A1F26"/>
        <rFont val="Arial"/>
        <family val="0"/>
        <charset val="1"/>
      </rPr>
      <t xml:space="preserve">S8 </t>
    </r>
    <r>
      <rPr>
        <sz val="10"/>
        <color rgb="FF1A1F26"/>
        <rFont val="Noto Sans CJK SC"/>
        <family val="2"/>
      </rPr>
      <t xml:space="preserve">硬化階段吸收前期溢出，或整體加 </t>
    </r>
    <r>
      <rPr>
        <sz val="10"/>
        <color rgb="FF1A1F26"/>
        <rFont val="Arial"/>
        <family val="0"/>
        <charset val="1"/>
      </rPr>
      <t xml:space="preserve">15% </t>
    </r>
    <r>
      <rPr>
        <sz val="10"/>
        <color rgb="FF1A1F26"/>
        <rFont val="Noto Sans CJK SC"/>
        <family val="2"/>
      </rPr>
      <t xml:space="preserve">管理緩衝</t>
    </r>
  </si>
  <si>
    <r>
      <rPr>
        <b val="true"/>
        <sz val="10"/>
        <color rgb="FF1A1F26"/>
        <rFont val="Arial"/>
        <family val="0"/>
        <charset val="1"/>
      </rPr>
      <t xml:space="preserve">QA </t>
    </r>
    <r>
      <rPr>
        <b val="true"/>
        <sz val="10"/>
        <color rgb="FF1A1F26"/>
        <rFont val="Noto Sans CJK SC"/>
        <family val="2"/>
      </rPr>
      <t xml:space="preserve">佔比偏低</t>
    </r>
  </si>
  <si>
    <r>
      <rPr>
        <sz val="10"/>
        <color rgb="FF1A1F26"/>
        <rFont val="Arial"/>
        <family val="0"/>
        <charset val="1"/>
      </rPr>
      <t xml:space="preserve">QA </t>
    </r>
    <r>
      <rPr>
        <sz val="10"/>
        <color rgb="FF1A1F26"/>
        <rFont val="Noto Sans CJK SC"/>
        <family val="2"/>
      </rPr>
      <t xml:space="preserve">任務約佔總量 </t>
    </r>
    <r>
      <rPr>
        <sz val="10"/>
        <color rgb="FF1A1F26"/>
        <rFont val="Arial"/>
        <family val="0"/>
        <charset val="1"/>
      </rPr>
      <t xml:space="preserve">9%</t>
    </r>
    <r>
      <rPr>
        <sz val="10"/>
        <color rgb="FF1A1F26"/>
        <rFont val="Noto Sans CJK SC"/>
        <family val="2"/>
      </rPr>
      <t xml:space="preserve">，低於常見的 </t>
    </r>
    <r>
      <rPr>
        <sz val="10"/>
        <color rgb="FF1A1F26"/>
        <rFont val="Arial"/>
        <family val="0"/>
        <charset val="1"/>
      </rPr>
      <t xml:space="preserve">15–20%</t>
    </r>
    <r>
      <rPr>
        <sz val="10"/>
        <color rgb="FF1A1F26"/>
        <rFont val="Noto Sans CJK SC"/>
        <family val="2"/>
      </rPr>
      <t xml:space="preserve">。此估算假設開發者自行完成單元測試，</t>
    </r>
    <r>
      <rPr>
        <sz val="10"/>
        <color rgb="FF1A1F26"/>
        <rFont val="Arial"/>
        <family val="0"/>
        <charset val="1"/>
      </rPr>
      <t xml:space="preserve">QA </t>
    </r>
    <r>
      <rPr>
        <sz val="10"/>
        <color rgb="FF1A1F26"/>
        <rFont val="Noto Sans CJK SC"/>
        <family val="2"/>
      </rPr>
      <t xml:space="preserve">專注整合與非功能測試；若客戶要求較深的測試深度，需上調此比例</t>
    </r>
  </si>
  <si>
    <t xml:space="preserve">後端人力調整</t>
  </si>
  <si>
    <r>
      <rPr>
        <sz val="10"/>
        <color rgb="FF1A1F26"/>
        <rFont val="Noto Sans CJK SC"/>
        <family val="2"/>
      </rPr>
      <t xml:space="preserve">對標補強使後端工作量達 </t>
    </r>
    <r>
      <rPr>
        <sz val="10"/>
        <color rgb="FF1A1F26"/>
        <rFont val="Arial"/>
        <family val="0"/>
        <charset val="1"/>
      </rPr>
      <t xml:space="preserve">298 </t>
    </r>
    <r>
      <rPr>
        <sz val="10"/>
        <color rgb="FF1A1F26"/>
        <rFont val="Noto Sans CJK SC"/>
        <family val="2"/>
      </rPr>
      <t xml:space="preserve">人日；</t>
    </r>
    <r>
      <rPr>
        <sz val="10"/>
        <color rgb="FF1A1F26"/>
        <rFont val="Arial"/>
        <family val="0"/>
        <charset val="1"/>
      </rPr>
      <t xml:space="preserve">3 </t>
    </r>
    <r>
      <rPr>
        <sz val="10"/>
        <color rgb="FF1A1F26"/>
        <rFont val="Noto Sans CJK SC"/>
        <family val="2"/>
      </rPr>
      <t xml:space="preserve">名後端會全部超載 </t>
    </r>
    <r>
      <rPr>
        <sz val="10"/>
        <color rgb="FF1A1F26"/>
        <rFont val="Arial"/>
        <family val="0"/>
        <charset val="1"/>
      </rPr>
      <t xml:space="preserve">105% </t>
    </r>
    <r>
      <rPr>
        <sz val="10"/>
        <color rgb="FF1A1F26"/>
        <rFont val="Noto Sans CJK SC"/>
        <family val="2"/>
      </rPr>
      <t xml:space="preserve">以上，因此配置為 </t>
    </r>
    <r>
      <rPr>
        <sz val="10"/>
        <color rgb="FF1A1F26"/>
        <rFont val="Arial"/>
        <family val="0"/>
        <charset val="1"/>
      </rPr>
      <t xml:space="preserve">4 </t>
    </r>
    <r>
      <rPr>
        <sz val="10"/>
        <color rgb="FF1A1F26"/>
        <rFont val="Noto Sans CJK SC"/>
        <family val="2"/>
      </rPr>
      <t xml:space="preserve">名（負載約 </t>
    </r>
    <r>
      <rPr>
        <sz val="10"/>
        <color rgb="FF1A1F26"/>
        <rFont val="Arial"/>
        <family val="0"/>
        <charset val="1"/>
      </rPr>
      <t xml:space="preserve">80%</t>
    </r>
    <r>
      <rPr>
        <sz val="10"/>
        <color rgb="FF1A1F26"/>
        <rFont val="Noto Sans CJK SC"/>
        <family val="2"/>
      </rPr>
      <t xml:space="preserve">）。若僅能配置 </t>
    </r>
    <r>
      <rPr>
        <sz val="10"/>
        <color rgb="FF1A1F26"/>
        <rFont val="Arial"/>
        <family val="0"/>
        <charset val="1"/>
      </rPr>
      <t xml:space="preserve">3 </t>
    </r>
    <r>
      <rPr>
        <sz val="10"/>
        <color rgb="FF1A1F26"/>
        <rFont val="Noto Sans CJK SC"/>
        <family val="2"/>
      </rPr>
      <t xml:space="preserve">名，需將 </t>
    </r>
    <r>
      <rPr>
        <sz val="10"/>
        <color rgb="FF1A1F26"/>
        <rFont val="Arial"/>
        <family val="0"/>
        <charset val="1"/>
      </rPr>
      <t xml:space="preserve">S9–S10 </t>
    </r>
    <r>
      <rPr>
        <sz val="10"/>
        <color rgb="FF1A1F26"/>
        <rFont val="Noto Sans CJK SC"/>
        <family val="2"/>
      </rPr>
      <t xml:space="preserve">延長一個 </t>
    </r>
    <r>
      <rPr>
        <sz val="10"/>
        <color rgb="FF1A1F26"/>
        <rFont val="Arial"/>
        <family val="0"/>
        <charset val="1"/>
      </rPr>
      <t xml:space="preserve">Sprint</t>
    </r>
  </si>
  <si>
    <t xml:space="preserve">外部依賴</t>
  </si>
  <si>
    <r>
      <rPr>
        <sz val="10"/>
        <color rgb="FF1A1F26"/>
        <rFont val="Noto Sans CJK SC"/>
        <family val="2"/>
      </rPr>
      <t xml:space="preserve">客戶 </t>
    </r>
    <r>
      <rPr>
        <sz val="10"/>
        <color rgb="FF1A1F26"/>
        <rFont val="Arial"/>
        <family val="0"/>
        <charset val="1"/>
      </rPr>
      <t xml:space="preserve">AD</t>
    </r>
    <r>
      <rPr>
        <sz val="10"/>
        <color rgb="FF1A1F26"/>
        <rFont val="Noto Sans CJK SC"/>
        <family val="2"/>
      </rPr>
      <t xml:space="preserve">／</t>
    </r>
    <r>
      <rPr>
        <sz val="10"/>
        <color rgb="FF1A1F26"/>
        <rFont val="Arial"/>
        <family val="0"/>
        <charset val="1"/>
      </rPr>
      <t xml:space="preserve">Entra </t>
    </r>
    <r>
      <rPr>
        <sz val="10"/>
        <color rgb="FF1A1F26"/>
        <rFont val="Noto Sans CJK SC"/>
        <family val="2"/>
      </rPr>
      <t xml:space="preserve">測試環境的取得時間不在估算內（見風險 </t>
    </r>
    <r>
      <rPr>
        <sz val="10"/>
        <color rgb="FF1A1F26"/>
        <rFont val="Arial"/>
        <family val="0"/>
        <charset val="1"/>
      </rPr>
      <t xml:space="preserve">R1</t>
    </r>
    <r>
      <rPr>
        <sz val="10"/>
        <color rgb="FF1A1F26"/>
        <rFont val="Noto Sans CJK SC"/>
        <family val="2"/>
      </rPr>
      <t xml:space="preserve">）</t>
    </r>
  </si>
  <si>
    <t xml:space="preserve">不含項目</t>
  </si>
  <si>
    <r>
      <rPr>
        <sz val="10"/>
        <color rgb="FF1A1F26"/>
        <rFont val="Noto Sans CJK SC"/>
        <family val="2"/>
      </rPr>
      <t xml:space="preserve">前端／</t>
    </r>
    <r>
      <rPr>
        <sz val="10"/>
        <color rgb="FF1A1F26"/>
        <rFont val="Arial"/>
        <family val="0"/>
        <charset val="1"/>
      </rPr>
      <t xml:space="preserve">BFF </t>
    </r>
    <r>
      <rPr>
        <sz val="10"/>
        <color rgb="FF1A1F26"/>
        <rFont val="Noto Sans CJK SC"/>
        <family val="2"/>
      </rPr>
      <t xml:space="preserve">開發、</t>
    </r>
    <r>
      <rPr>
        <sz val="10"/>
        <color rgb="FF1A1F26"/>
        <rFont val="Arial"/>
        <family val="0"/>
        <charset val="1"/>
      </rPr>
      <t xml:space="preserve">Rust </t>
    </r>
    <r>
      <rPr>
        <sz val="10"/>
        <color rgb="FF1A1F26"/>
        <rFont val="Noto Sans CJK SC"/>
        <family val="2"/>
      </rPr>
      <t xml:space="preserve">引擎、</t>
    </r>
    <r>
      <rPr>
        <sz val="10"/>
        <color rgb="FF1A1F26"/>
        <rFont val="Arial"/>
        <family val="0"/>
        <charset val="1"/>
      </rPr>
      <t xml:space="preserve">Kafka</t>
    </r>
    <r>
      <rPr>
        <sz val="10"/>
        <color rgb="FF1A1F26"/>
        <rFont val="Noto Sans CJK SC"/>
        <family val="2"/>
      </rPr>
      <t xml:space="preserve">、資料倉、行動端（屬第二～四階段）</t>
    </r>
  </si>
  <si>
    <t xml:space="preserve">對標延後項目</t>
  </si>
  <si>
    <r>
      <rPr>
        <sz val="10"/>
        <color rgb="FF1A1F26"/>
        <rFont val="Arial"/>
        <family val="0"/>
        <charset val="1"/>
      </rPr>
      <t xml:space="preserve">Google Meet</t>
    </r>
    <r>
      <rPr>
        <sz val="10"/>
        <color rgb="FF1A1F26"/>
        <rFont val="Noto Sans CJK SC"/>
        <family val="2"/>
      </rPr>
      <t xml:space="preserve">／</t>
    </r>
    <r>
      <rPr>
        <sz val="10"/>
        <color rgb="FF1A1F26"/>
        <rFont val="Arial"/>
        <family val="0"/>
        <charset val="1"/>
      </rPr>
      <t xml:space="preserve">Zoom</t>
    </r>
    <r>
      <rPr>
        <sz val="10"/>
        <color rgb="FF1A1F26"/>
        <rFont val="Noto Sans CJK SC"/>
        <family val="2"/>
      </rPr>
      <t xml:space="preserve">／</t>
    </r>
    <r>
      <rPr>
        <sz val="10"/>
        <color rgb="FF1A1F26"/>
        <rFont val="Arial"/>
        <family val="0"/>
        <charset val="1"/>
      </rPr>
      <t xml:space="preserve">Webex </t>
    </r>
    <r>
      <rPr>
        <sz val="10"/>
        <color rgb="FF1A1F26"/>
        <rFont val="Noto Sans CJK SC"/>
        <family val="2"/>
      </rPr>
      <t xml:space="preserve">連接器（</t>
    </r>
    <r>
      <rPr>
        <sz val="10"/>
        <color rgb="FF1A1F26"/>
        <rFont val="Arial"/>
        <family val="0"/>
        <charset val="1"/>
      </rPr>
      <t xml:space="preserve">7 </t>
    </r>
    <r>
      <rPr>
        <sz val="10"/>
        <color rgb="FF1A1F26"/>
        <rFont val="Noto Sans CJK SC"/>
        <family val="2"/>
      </rPr>
      <t xml:space="preserve">人日）、外部行事曆雙向同步（</t>
    </r>
    <r>
      <rPr>
        <sz val="10"/>
        <color rgb="FF1A1F26"/>
        <rFont val="Arial"/>
        <family val="0"/>
        <charset val="1"/>
      </rPr>
      <t xml:space="preserve">6 </t>
    </r>
    <r>
      <rPr>
        <sz val="10"/>
        <color rgb="FF1A1F26"/>
        <rFont val="Noto Sans CJK SC"/>
        <family val="2"/>
      </rPr>
      <t xml:space="preserve">人日）、</t>
    </r>
    <r>
      <rPr>
        <sz val="10"/>
        <color rgb="FF1A1F26"/>
        <rFont val="Arial"/>
        <family val="0"/>
        <charset val="1"/>
      </rPr>
      <t xml:space="preserve">AI </t>
    </r>
    <r>
      <rPr>
        <sz val="10"/>
        <color rgb="FF1A1F26"/>
        <rFont val="Noto Sans CJK SC"/>
        <family val="2"/>
      </rPr>
      <t xml:space="preserve">自然語言查詢（</t>
    </r>
    <r>
      <rPr>
        <sz val="10"/>
        <color rgb="FF1A1F26"/>
        <rFont val="Arial"/>
        <family val="0"/>
        <charset val="1"/>
      </rPr>
      <t xml:space="preserve">8 </t>
    </r>
    <r>
      <rPr>
        <sz val="10"/>
        <color rgb="FF1A1F26"/>
        <rFont val="Noto Sans CJK SC"/>
        <family val="2"/>
      </rPr>
      <t xml:space="preserve">人日）已排入第二／三階段，不計入本 </t>
    </r>
    <r>
      <rPr>
        <sz val="10"/>
        <color rgb="FF1A1F26"/>
        <rFont val="Arial"/>
        <family val="0"/>
        <charset val="1"/>
      </rPr>
      <t xml:space="preserve">WBS</t>
    </r>
  </si>
  <si>
    <t xml:space="preserve">主要風險</t>
  </si>
  <si>
    <t xml:space="preserve">編號</t>
  </si>
  <si>
    <t xml:space="preserve">風險</t>
  </si>
  <si>
    <t xml:space="preserve">影響</t>
  </si>
  <si>
    <t xml:space="preserve">機率</t>
  </si>
  <si>
    <t xml:space="preserve">應對與負責角色</t>
  </si>
  <si>
    <t xml:space="preserve">R1</t>
  </si>
  <si>
    <r>
      <rPr>
        <sz val="10"/>
        <color rgb="FF1A1F26"/>
        <rFont val="Noto Sans CJK SC"/>
        <family val="2"/>
      </rPr>
      <t xml:space="preserve">客戶 </t>
    </r>
    <r>
      <rPr>
        <sz val="10"/>
        <color rgb="FF1A1F26"/>
        <rFont val="Arial"/>
        <family val="0"/>
        <charset val="1"/>
      </rPr>
      <t xml:space="preserve">AD</t>
    </r>
    <r>
      <rPr>
        <sz val="10"/>
        <color rgb="FF1A1F26"/>
        <rFont val="Noto Sans CJK SC"/>
        <family val="2"/>
      </rPr>
      <t xml:space="preserve">／</t>
    </r>
    <r>
      <rPr>
        <sz val="10"/>
        <color rgb="FF1A1F26"/>
        <rFont val="Arial"/>
        <family val="0"/>
        <charset val="1"/>
      </rPr>
      <t xml:space="preserve">Entra </t>
    </r>
    <r>
      <rPr>
        <sz val="10"/>
        <color rgb="FF1A1F26"/>
        <rFont val="Noto Sans CJK SC"/>
        <family val="2"/>
      </rPr>
      <t xml:space="preserve">測試環境取得延遲</t>
    </r>
  </si>
  <si>
    <r>
      <rPr>
        <sz val="10"/>
        <color rgb="FF1A1F26"/>
        <rFont val="Arial"/>
        <family val="0"/>
        <charset val="1"/>
      </rPr>
      <t xml:space="preserve">S2 </t>
    </r>
    <r>
      <rPr>
        <sz val="10"/>
        <color rgb="FF1A1F26"/>
        <rFont val="Noto Sans CJK SC"/>
        <family val="2"/>
      </rPr>
      <t xml:space="preserve">身分整合無法驗證，連帶影響 </t>
    </r>
    <r>
      <rPr>
        <sz val="10"/>
        <color rgb="FF1A1F26"/>
        <rFont val="Arial"/>
        <family val="0"/>
        <charset val="1"/>
      </rPr>
      <t xml:space="preserve">M3</t>
    </r>
  </si>
  <si>
    <t xml:space="preserve">高</t>
  </si>
  <si>
    <r>
      <rPr>
        <sz val="10"/>
        <color rgb="FF1A1F26"/>
        <rFont val="Arial"/>
        <family val="0"/>
        <charset val="1"/>
      </rPr>
      <t xml:space="preserve">S0 </t>
    </r>
    <r>
      <rPr>
        <sz val="10"/>
        <color rgb="FF1A1F26"/>
        <rFont val="Noto Sans CJK SC"/>
        <family val="2"/>
      </rPr>
      <t xml:space="preserve">即發出環境需求；先以自架 </t>
    </r>
    <r>
      <rPr>
        <sz val="10"/>
        <color rgb="FF1A1F26"/>
        <rFont val="Arial"/>
        <family val="0"/>
        <charset val="1"/>
      </rPr>
      <t xml:space="preserve">AD + Entra </t>
    </r>
    <r>
      <rPr>
        <sz val="10"/>
        <color rgb="FF1A1F26"/>
        <rFont val="Noto Sans CJK SC"/>
        <family val="2"/>
      </rPr>
      <t xml:space="preserve">開發者租戶開發（</t>
    </r>
    <r>
      <rPr>
        <sz val="10"/>
        <color rgb="FF1A1F26"/>
        <rFont val="Arial"/>
        <family val="0"/>
        <charset val="1"/>
      </rPr>
      <t xml:space="preserve">WBS 3.11</t>
    </r>
    <r>
      <rPr>
        <sz val="10"/>
        <color rgb="FF1A1F26"/>
        <rFont val="Noto Sans CJK SC"/>
        <family val="2"/>
      </rPr>
      <t xml:space="preserve">）— </t>
    </r>
    <r>
      <rPr>
        <sz val="10"/>
        <color rgb="FF1A1F26"/>
        <rFont val="Arial"/>
        <family val="0"/>
        <charset val="1"/>
      </rPr>
      <t xml:space="preserve">PM</t>
    </r>
    <r>
      <rPr>
        <sz val="10"/>
        <color rgb="FF1A1F26"/>
        <rFont val="Noto Sans CJK SC"/>
        <family val="2"/>
      </rPr>
      <t xml:space="preserve">／</t>
    </r>
    <r>
      <rPr>
        <sz val="10"/>
        <color rgb="FF1A1F26"/>
        <rFont val="Arial"/>
        <family val="0"/>
        <charset val="1"/>
      </rPr>
      <t xml:space="preserve">DevOps</t>
    </r>
  </si>
  <si>
    <t xml:space="preserve">R2</t>
  </si>
  <si>
    <r>
      <rPr>
        <sz val="10"/>
        <color rgb="FF1A1F26"/>
        <rFont val="Arial"/>
        <family val="0"/>
        <charset val="1"/>
      </rPr>
      <t xml:space="preserve">RLS context </t>
    </r>
    <r>
      <rPr>
        <sz val="10"/>
        <color rgb="FF1A1F26"/>
        <rFont val="Noto Sans CJK SC"/>
        <family val="2"/>
      </rPr>
      <t xml:space="preserve">在新增資料存取路徑時被遺漏</t>
    </r>
  </si>
  <si>
    <t xml:space="preserve">跨租戶資料洩漏</t>
  </si>
  <si>
    <t xml:space="preserve">中</t>
  </si>
  <si>
    <r>
      <rPr>
        <sz val="10"/>
        <color rgb="FF1A1F26"/>
        <rFont val="Noto Sans CJK SC"/>
        <family val="2"/>
      </rPr>
      <t xml:space="preserve">在連線層強制注入而非 </t>
    </r>
    <r>
      <rPr>
        <sz val="10"/>
        <color rgb="FF1A1F26"/>
        <rFont val="Arial"/>
        <family val="0"/>
        <charset val="1"/>
      </rPr>
      <t xml:space="preserve">API </t>
    </r>
    <r>
      <rPr>
        <sz val="10"/>
        <color rgb="FF1A1F26"/>
        <rFont val="Noto Sans CJK SC"/>
        <family val="2"/>
      </rPr>
      <t xml:space="preserve">層；</t>
    </r>
    <r>
      <rPr>
        <sz val="10"/>
        <color rgb="FF1A1F26"/>
        <rFont val="Arial"/>
        <family val="0"/>
        <charset val="1"/>
      </rPr>
      <t xml:space="preserve">CI </t>
    </r>
    <r>
      <rPr>
        <sz val="10"/>
        <color rgb="FF1A1F26"/>
        <rFont val="Noto Sans CJK SC"/>
        <family val="2"/>
      </rPr>
      <t xml:space="preserve">加入「未設 </t>
    </r>
    <r>
      <rPr>
        <sz val="10"/>
        <color rgb="FF1A1F26"/>
        <rFont val="Arial"/>
        <family val="0"/>
        <charset val="1"/>
      </rPr>
      <t xml:space="preserve">context </t>
    </r>
    <r>
      <rPr>
        <sz val="10"/>
        <color rgb="FF1A1F26"/>
        <rFont val="Noto Sans CJK SC"/>
        <family val="2"/>
      </rPr>
      <t xml:space="preserve">回 </t>
    </r>
    <r>
      <rPr>
        <sz val="10"/>
        <color rgb="FF1A1F26"/>
        <rFont val="Arial"/>
        <family val="0"/>
        <charset val="1"/>
      </rPr>
      <t xml:space="preserve">0 </t>
    </r>
    <r>
      <rPr>
        <sz val="10"/>
        <color rgb="FF1A1F26"/>
        <rFont val="Noto Sans CJK SC"/>
        <family val="2"/>
      </rPr>
      <t xml:space="preserve">列」測試（</t>
    </r>
    <r>
      <rPr>
        <sz val="10"/>
        <color rgb="FF1A1F26"/>
        <rFont val="Arial"/>
        <family val="0"/>
        <charset val="1"/>
      </rPr>
      <t xml:space="preserve">WBS 2.2</t>
    </r>
    <r>
      <rPr>
        <sz val="10"/>
        <color rgb="FF1A1F26"/>
        <rFont val="Noto Sans CJK SC"/>
        <family val="2"/>
      </rPr>
      <t xml:space="preserve">、</t>
    </r>
    <r>
      <rPr>
        <sz val="10"/>
        <color rgb="FF1A1F26"/>
        <rFont val="Arial"/>
        <family val="0"/>
        <charset val="1"/>
      </rPr>
      <t xml:space="preserve">2.10</t>
    </r>
    <r>
      <rPr>
        <sz val="10"/>
        <color rgb="FF1A1F26"/>
        <rFont val="Noto Sans CJK SC"/>
        <family val="2"/>
      </rPr>
      <t xml:space="preserve">）— </t>
    </r>
    <r>
      <rPr>
        <sz val="10"/>
        <color rgb="FF1A1F26"/>
        <rFont val="Arial"/>
        <family val="0"/>
        <charset val="1"/>
      </rPr>
      <t xml:space="preserve">Tech Lead</t>
    </r>
  </si>
  <si>
    <t xml:space="preserve">R3</t>
  </si>
  <si>
    <r>
      <rPr>
        <sz val="10"/>
        <color rgb="FF1A1F26"/>
        <rFont val="Arial"/>
        <family val="0"/>
        <charset val="1"/>
      </rPr>
      <t xml:space="preserve">Lovable </t>
    </r>
    <r>
      <rPr>
        <sz val="10"/>
        <color rgb="FF1A1F26"/>
        <rFont val="Noto Sans CJK SC"/>
        <family val="2"/>
      </rPr>
      <t xml:space="preserve">既有資料品質（</t>
    </r>
    <r>
      <rPr>
        <sz val="10"/>
        <color rgb="FF1A1F26"/>
        <rFont val="Arial"/>
        <family val="0"/>
        <charset val="1"/>
      </rPr>
      <t xml:space="preserve">47 </t>
    </r>
    <r>
      <rPr>
        <sz val="10"/>
        <color rgb="FF1A1F26"/>
        <rFont val="Noto Sans CJK SC"/>
        <family val="2"/>
      </rPr>
      <t xml:space="preserve">筆待確認、</t>
    </r>
    <r>
      <rPr>
        <sz val="10"/>
        <color rgb="FF1A1F26"/>
        <rFont val="Arial"/>
        <family val="0"/>
        <charset val="1"/>
      </rPr>
      <t xml:space="preserve">B1 </t>
    </r>
    <r>
      <rPr>
        <sz val="10"/>
        <color rgb="FF1A1F26"/>
        <rFont val="Noto Sans CJK SC"/>
        <family val="2"/>
      </rPr>
      <t xml:space="preserve">未識別設備）</t>
    </r>
  </si>
  <si>
    <t xml:space="preserve">上線後資料不可信，需重新匯入</t>
  </si>
  <si>
    <r>
      <rPr>
        <sz val="10"/>
        <color rgb="FF1A1F26"/>
        <rFont val="Noto Sans CJK SC"/>
        <family val="2"/>
      </rPr>
      <t xml:space="preserve">匯入一律先跑試跑模式並產出差異報告；未識別項目不得以猜測值填入（</t>
    </r>
    <r>
      <rPr>
        <sz val="10"/>
        <color rgb="FF1A1F26"/>
        <rFont val="Arial"/>
        <family val="0"/>
        <charset val="1"/>
      </rPr>
      <t xml:space="preserve">WBS 4.10</t>
    </r>
    <r>
      <rPr>
        <sz val="10"/>
        <color rgb="FF1A1F26"/>
        <rFont val="Noto Sans CJK SC"/>
        <family val="2"/>
      </rPr>
      <t xml:space="preserve">）— </t>
    </r>
    <r>
      <rPr>
        <sz val="10"/>
        <color rgb="FF1A1F26"/>
        <rFont val="Arial"/>
        <family val="0"/>
        <charset val="1"/>
      </rPr>
      <t xml:space="preserve">Backend A</t>
    </r>
  </si>
  <si>
    <t xml:space="preserve">R4</t>
  </si>
  <si>
    <t xml:space="preserve">預約併發在真實負載下出現大量衝突重試</t>
  </si>
  <si>
    <t xml:space="preserve">使用者體驗差、資料庫負載升高</t>
  </si>
  <si>
    <r>
      <rPr>
        <sz val="10"/>
        <color rgb="FF1A1F26"/>
        <rFont val="Arial"/>
        <family val="0"/>
        <charset val="1"/>
      </rPr>
      <t xml:space="preserve">S6 </t>
    </r>
    <r>
      <rPr>
        <sz val="10"/>
        <color rgb="FF1A1F26"/>
        <rFont val="Noto Sans CJK SC"/>
        <family val="2"/>
      </rPr>
      <t xml:space="preserve">即進行 </t>
    </r>
    <r>
      <rPr>
        <sz val="10"/>
        <color rgb="FF1A1F26"/>
        <rFont val="Arial"/>
        <family val="0"/>
        <charset val="1"/>
      </rPr>
      <t xml:space="preserve">100 </t>
    </r>
    <r>
      <rPr>
        <sz val="10"/>
        <color rgb="FF1A1F26"/>
        <rFont val="Noto Sans CJK SC"/>
        <family val="2"/>
      </rPr>
      <t xml:space="preserve">執行緒壓測；必要時提前導入第二階段 </t>
    </r>
    <r>
      <rPr>
        <sz val="10"/>
        <color rgb="FF1A1F26"/>
        <rFont val="Arial"/>
        <family val="0"/>
        <charset val="1"/>
      </rPr>
      <t xml:space="preserve">Redis </t>
    </r>
    <r>
      <rPr>
        <sz val="10"/>
        <color rgb="FF1A1F26"/>
        <rFont val="Noto Sans CJK SC"/>
        <family val="2"/>
      </rPr>
      <t xml:space="preserve">前置鎖（</t>
    </r>
    <r>
      <rPr>
        <sz val="10"/>
        <color rgb="FF1A1F26"/>
        <rFont val="Arial"/>
        <family val="0"/>
        <charset val="1"/>
      </rPr>
      <t xml:space="preserve">WBS 7.10</t>
    </r>
    <r>
      <rPr>
        <sz val="10"/>
        <color rgb="FF1A1F26"/>
        <rFont val="Noto Sans CJK SC"/>
        <family val="2"/>
      </rPr>
      <t xml:space="preserve">）— </t>
    </r>
    <r>
      <rPr>
        <sz val="10"/>
        <color rgb="FF1A1F26"/>
        <rFont val="Arial"/>
        <family val="0"/>
        <charset val="1"/>
      </rPr>
      <t xml:space="preserve">QA</t>
    </r>
    <r>
      <rPr>
        <sz val="10"/>
        <color rgb="FF1A1F26"/>
        <rFont val="Noto Sans CJK SC"/>
        <family val="2"/>
      </rPr>
      <t xml:space="preserve">／</t>
    </r>
    <r>
      <rPr>
        <sz val="10"/>
        <color rgb="FF1A1F26"/>
        <rFont val="Arial"/>
        <family val="0"/>
        <charset val="1"/>
      </rPr>
      <t xml:space="preserve">Tech Lead</t>
    </r>
  </si>
  <si>
    <t xml:space="preserve">R5</t>
  </si>
  <si>
    <r>
      <rPr>
        <sz val="10"/>
        <color rgb="FF1A1F26"/>
        <rFont val="Noto Sans CJK SC"/>
        <family val="2"/>
      </rPr>
      <t xml:space="preserve">狀態機 </t>
    </r>
    <r>
      <rPr>
        <sz val="10"/>
        <color rgb="FF1A1F26"/>
        <rFont val="Arial"/>
        <family val="0"/>
        <charset val="1"/>
      </rPr>
      <t xml:space="preserve">side_effects </t>
    </r>
    <r>
      <rPr>
        <sz val="10"/>
        <color rgb="FF1A1F26"/>
        <rFont val="Noto Sans CJK SC"/>
        <family val="2"/>
      </rPr>
      <t xml:space="preserve">與實作不同步</t>
    </r>
  </si>
  <si>
    <t xml:space="preserve">動作可執行但副作用未觸發</t>
  </si>
  <si>
    <r>
      <rPr>
        <sz val="10"/>
        <color rgb="FF1A1F26"/>
        <rFont val="Noto Sans CJK SC"/>
        <family val="2"/>
      </rPr>
      <t xml:space="preserve">每個 </t>
    </r>
    <r>
      <rPr>
        <sz val="10"/>
        <color rgb="FF1A1F26"/>
        <rFont val="Arial"/>
        <family val="0"/>
        <charset val="1"/>
      </rPr>
      <t xml:space="preserve">side_effects </t>
    </r>
    <r>
      <rPr>
        <sz val="10"/>
        <color rgb="FF1A1F26"/>
        <rFont val="Noto Sans CJK SC"/>
        <family val="2"/>
      </rPr>
      <t xml:space="preserve">鍵都需有對應處理器與單元測試（</t>
    </r>
    <r>
      <rPr>
        <sz val="10"/>
        <color rgb="FF1A1F26"/>
        <rFont val="Arial"/>
        <family val="0"/>
        <charset val="1"/>
      </rPr>
      <t xml:space="preserve">WBS 5.2</t>
    </r>
    <r>
      <rPr>
        <sz val="10"/>
        <color rgb="FF1A1F26"/>
        <rFont val="Noto Sans CJK SC"/>
        <family val="2"/>
      </rPr>
      <t xml:space="preserve">、</t>
    </r>
    <r>
      <rPr>
        <sz val="10"/>
        <color rgb="FF1A1F26"/>
        <rFont val="Arial"/>
        <family val="0"/>
        <charset val="1"/>
      </rPr>
      <t xml:space="preserve">5.11</t>
    </r>
    <r>
      <rPr>
        <sz val="10"/>
        <color rgb="FF1A1F26"/>
        <rFont val="Noto Sans CJK SC"/>
        <family val="2"/>
      </rPr>
      <t xml:space="preserve">）— </t>
    </r>
    <r>
      <rPr>
        <sz val="10"/>
        <color rgb="FF1A1F26"/>
        <rFont val="Arial"/>
        <family val="0"/>
        <charset val="1"/>
      </rPr>
      <t xml:space="preserve">Tech Lead</t>
    </r>
  </si>
  <si>
    <t xml:space="preserve">R6</t>
  </si>
  <si>
    <t xml:space="preserve">遙測資料量超出第一階段假設</t>
  </si>
  <si>
    <t xml:space="preserve">查詢變慢、儲存成本上升</t>
  </si>
  <si>
    <r>
      <rPr>
        <sz val="10"/>
        <color rgb="FF1A1F26"/>
        <rFont val="Noto Sans CJK SC"/>
        <family val="2"/>
      </rPr>
      <t xml:space="preserve">寫入已封裝於 </t>
    </r>
    <r>
      <rPr>
        <sz val="10"/>
        <color rgb="FF1A1F26"/>
        <rFont val="Arial"/>
        <family val="0"/>
        <charset val="1"/>
      </rPr>
      <t xml:space="preserve">ingest_telemetry()</t>
    </r>
    <r>
      <rPr>
        <sz val="10"/>
        <color rgb="FF1A1F26"/>
        <rFont val="Noto Sans CJK SC"/>
        <family val="2"/>
      </rPr>
      <t xml:space="preserve">；達門檻改用 </t>
    </r>
    <r>
      <rPr>
        <sz val="10"/>
        <color rgb="FF1A1F26"/>
        <rFont val="Arial"/>
        <family val="0"/>
        <charset val="1"/>
      </rPr>
      <t xml:space="preserve">TimescaleDB </t>
    </r>
    <r>
      <rPr>
        <sz val="10"/>
        <color rgb="FF1A1F26"/>
        <rFont val="Noto Sans CJK SC"/>
        <family val="2"/>
      </rPr>
      <t xml:space="preserve">或第四階段 </t>
    </r>
    <r>
      <rPr>
        <sz val="10"/>
        <color rgb="FF1A1F26"/>
        <rFont val="Arial"/>
        <family val="0"/>
        <charset val="1"/>
      </rPr>
      <t xml:space="preserve">Rust broker</t>
    </r>
    <r>
      <rPr>
        <sz val="10"/>
        <color rgb="FF1A1F26"/>
        <rFont val="Noto Sans CJK SC"/>
        <family val="2"/>
      </rPr>
      <t xml:space="preserve">（</t>
    </r>
    <r>
      <rPr>
        <sz val="10"/>
        <color rgb="FF1A1F26"/>
        <rFont val="Arial"/>
        <family val="0"/>
        <charset val="1"/>
      </rPr>
      <t xml:space="preserve">WBS 8.11</t>
    </r>
    <r>
      <rPr>
        <sz val="10"/>
        <color rgb="FF1A1F26"/>
        <rFont val="Noto Sans CJK SC"/>
        <family val="2"/>
      </rPr>
      <t xml:space="preserve">）— </t>
    </r>
    <r>
      <rPr>
        <sz val="10"/>
        <color rgb="FF1A1F26"/>
        <rFont val="Arial"/>
        <family val="0"/>
        <charset val="1"/>
      </rPr>
      <t xml:space="preserve">DBA</t>
    </r>
  </si>
  <si>
    <t xml:space="preserve">R7</t>
  </si>
  <si>
    <r>
      <rPr>
        <sz val="10"/>
        <color rgb="FF1A1F26"/>
        <rFont val="Noto Sans CJK SC"/>
        <family val="2"/>
      </rPr>
      <t xml:space="preserve">客戶 </t>
    </r>
    <r>
      <rPr>
        <sz val="10"/>
        <color rgb="FF1A1F26"/>
        <rFont val="Arial"/>
        <family val="0"/>
        <charset val="1"/>
      </rPr>
      <t xml:space="preserve">UAT </t>
    </r>
    <r>
      <rPr>
        <sz val="10"/>
        <color rgb="FF1A1F26"/>
        <rFont val="Noto Sans CJK SC"/>
        <family val="2"/>
      </rPr>
      <t xml:space="preserve">期間需求擴張</t>
    </r>
  </si>
  <si>
    <t xml:space="preserve">時程延誤、第一階段無法收斂</t>
  </si>
  <si>
    <r>
      <rPr>
        <sz val="10"/>
        <color rgb="FF1A1F26"/>
        <rFont val="Noto Sans CJK SC"/>
        <family val="2"/>
      </rPr>
      <t xml:space="preserve">以規格書第 </t>
    </r>
    <r>
      <rPr>
        <sz val="10"/>
        <color rgb="FF1A1F26"/>
        <rFont val="Arial"/>
        <family val="0"/>
        <charset val="1"/>
      </rPr>
      <t xml:space="preserve">2 </t>
    </r>
    <r>
      <rPr>
        <sz val="10"/>
        <color rgb="FF1A1F26"/>
        <rFont val="Noto Sans CJK SC"/>
        <family val="2"/>
      </rPr>
      <t xml:space="preserve">章「範圍外」為依據；新需求一律登錄為第二階段候選（</t>
    </r>
    <r>
      <rPr>
        <sz val="10"/>
        <color rgb="FF1A1F26"/>
        <rFont val="Arial"/>
        <family val="0"/>
        <charset val="1"/>
      </rPr>
      <t xml:space="preserve">WBS 9.11</t>
    </r>
    <r>
      <rPr>
        <sz val="10"/>
        <color rgb="FF1A1F26"/>
        <rFont val="Noto Sans CJK SC"/>
        <family val="2"/>
      </rPr>
      <t xml:space="preserve">）— </t>
    </r>
    <r>
      <rPr>
        <sz val="10"/>
        <color rgb="FF1A1F26"/>
        <rFont val="Arial"/>
        <family val="0"/>
        <charset val="1"/>
      </rPr>
      <t xml:space="preserve">PM</t>
    </r>
  </si>
  <si>
    <t xml:space="preserve">R8</t>
  </si>
  <si>
    <r>
      <rPr>
        <sz val="10"/>
        <color rgb="FF1A1F26"/>
        <rFont val="Noto Sans CJK SC"/>
        <family val="2"/>
      </rPr>
      <t xml:space="preserve">單一資深人力（</t>
    </r>
    <r>
      <rPr>
        <sz val="10"/>
        <color rgb="FF1A1F26"/>
        <rFont val="Arial"/>
        <family val="0"/>
        <charset val="1"/>
      </rPr>
      <t xml:space="preserve">Tech Lead</t>
    </r>
    <r>
      <rPr>
        <sz val="10"/>
        <color rgb="FF1A1F26"/>
        <rFont val="Noto Sans CJK SC"/>
        <family val="2"/>
      </rPr>
      <t xml:space="preserve">）成為瓶頸</t>
    </r>
  </si>
  <si>
    <r>
      <rPr>
        <sz val="10"/>
        <color rgb="FF1A1F26"/>
        <rFont val="Noto Sans CJK SC"/>
        <family val="2"/>
      </rPr>
      <t xml:space="preserve">狀態機、權限、</t>
    </r>
    <r>
      <rPr>
        <sz val="10"/>
        <color rgb="FF1A1F26"/>
        <rFont val="Arial"/>
        <family val="0"/>
        <charset val="1"/>
      </rPr>
      <t xml:space="preserve">API </t>
    </r>
    <r>
      <rPr>
        <sz val="10"/>
        <color rgb="FF1A1F26"/>
        <rFont val="Noto Sans CJK SC"/>
        <family val="2"/>
      </rPr>
      <t xml:space="preserve">共用層集中於一人</t>
    </r>
  </si>
  <si>
    <r>
      <rPr>
        <sz val="10"/>
        <color rgb="FF1A1F26"/>
        <rFont val="Noto Sans CJK SC"/>
        <family val="2"/>
      </rPr>
      <t xml:space="preserve">關鍵設計以 </t>
    </r>
    <r>
      <rPr>
        <sz val="10"/>
        <color rgb="FF1A1F26"/>
        <rFont val="Arial"/>
        <family val="0"/>
        <charset val="1"/>
      </rPr>
      <t xml:space="preserve">pair review </t>
    </r>
    <r>
      <rPr>
        <sz val="10"/>
        <color rgb="FF1A1F26"/>
        <rFont val="Noto Sans CJK SC"/>
        <family val="2"/>
      </rPr>
      <t xml:space="preserve">與文件化擴散；</t>
    </r>
    <r>
      <rPr>
        <sz val="10"/>
        <color rgb="FF1A1F26"/>
        <rFont val="Arial"/>
        <family val="0"/>
        <charset val="1"/>
      </rPr>
      <t xml:space="preserve">FTE </t>
    </r>
    <r>
      <rPr>
        <sz val="10"/>
        <color rgb="FF1A1F26"/>
        <rFont val="Noto Sans CJK SC"/>
        <family val="2"/>
      </rPr>
      <t xml:space="preserve">假設保留 </t>
    </r>
    <r>
      <rPr>
        <sz val="10"/>
        <color rgb="FF1A1F26"/>
        <rFont val="Arial"/>
        <family val="0"/>
        <charset val="1"/>
      </rPr>
      <t xml:space="preserve">0.7 </t>
    </r>
    <r>
      <rPr>
        <sz val="10"/>
        <color rgb="FF1A1F26"/>
        <rFont val="Noto Sans CJK SC"/>
        <family val="2"/>
      </rPr>
      <t xml:space="preserve">以維持審查頻寬 — </t>
    </r>
    <r>
      <rPr>
        <sz val="10"/>
        <color rgb="FF1A1F26"/>
        <rFont val="Arial"/>
        <family val="0"/>
        <charset val="1"/>
      </rPr>
      <t xml:space="preserve">PM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</si>
</sst>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%"/>
    <numFmt numFmtId="167" formatCode="yyyy\-mm\-dd"/>
    <numFmt numFmtId="168" formatCode="0"/>
    <numFmt numFmtId="169" formatCode="0.0%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0E18"/>
      <name val="Arial"/>
      <family val="0"/>
      <charset val="1"/>
    </font>
    <font>
      <b val="true"/>
      <sz val="16"/>
      <color rgb="FF0A0E18"/>
      <name val="Noto Sans CJK SC"/>
      <family val="2"/>
    </font>
    <font>
      <b val="true"/>
      <sz val="10"/>
      <color rgb="FF1A1F26"/>
      <name val="Arial"/>
      <family val="0"/>
      <charset val="1"/>
    </font>
    <font>
      <b val="true"/>
      <sz val="10"/>
      <color rgb="FF1A1F26"/>
      <name val="Noto Sans CJK SC"/>
      <family val="2"/>
    </font>
    <font>
      <sz val="10"/>
      <color rgb="FF1A1F26"/>
      <name val="Arial"/>
      <family val="0"/>
      <charset val="1"/>
    </font>
    <font>
      <sz val="10"/>
      <color rgb="FF1A1F26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sz val="9"/>
      <color rgb="FF1A1F26"/>
      <name val="Arial"/>
      <family val="0"/>
      <charset val="1"/>
    </font>
    <font>
      <sz val="9"/>
      <color rgb="FF1A1F26"/>
      <name val="Noto Sans CJK SC"/>
      <family val="2"/>
    </font>
    <font>
      <b val="true"/>
      <sz val="11"/>
      <color rgb="FF0A0E18"/>
      <name val="Noto Sans CJK SC"/>
      <family val="2"/>
    </font>
    <font>
      <sz val="10"/>
      <color rgb="FF0000FF"/>
      <name val="Noto Sans CJK SC"/>
      <family val="2"/>
    </font>
    <font>
      <sz val="10"/>
      <color rgb="FF008000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9"/>
      <color rgb="FF1A1F26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4"/>
      <color rgb="FF0A0E18"/>
      <name val="Arial"/>
      <family val="0"/>
      <charset val="1"/>
    </font>
    <font>
      <b val="true"/>
      <sz val="14"/>
      <color rgb="FF0A0E18"/>
      <name val="Noto Sans CJK SC"/>
      <family val="2"/>
    </font>
    <font>
      <b val="true"/>
      <sz val="11"/>
      <color rgb="FF1A1F26"/>
      <name val="Noto Sans CJK SC"/>
      <family val="2"/>
    </font>
    <font>
      <b val="true"/>
      <sz val="11"/>
      <color rgb="FF1A1F26"/>
      <name val="Arial"/>
      <family val="0"/>
      <charset val="1"/>
    </font>
    <font>
      <i val="true"/>
      <sz val="9"/>
      <color rgb="FF5A6672"/>
      <name val="Noto Sans CJK SC"/>
      <family val="2"/>
    </font>
    <font>
      <i val="true"/>
      <sz val="9"/>
      <color rgb="FF5A6672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A0E18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A6672"/>
      <name val="Arial"/>
      <family val="0"/>
      <charset val="1"/>
    </font>
    <font>
      <sz val="9"/>
      <color rgb="FF5A6672"/>
      <name val="Noto Sans CJK SC"/>
      <family val="2"/>
    </font>
    <font>
      <b val="true"/>
      <sz val="12"/>
      <color rgb="FF00A79B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0A0E18"/>
        <bgColor rgb="FF000000"/>
      </patternFill>
    </fill>
    <fill>
      <patternFill patternType="solid">
        <fgColor rgb="FF00A79B"/>
        <bgColor rgb="FF008080"/>
      </patternFill>
    </fill>
    <fill>
      <patternFill patternType="solid">
        <fgColor rgb="FFFFF6CC"/>
        <bgColor rgb="FFF2F5F7"/>
      </patternFill>
    </fill>
    <fill>
      <patternFill patternType="solid">
        <fgColor rgb="FFF2F5F7"/>
        <bgColor rgb="FFE8EEF2"/>
      </patternFill>
    </fill>
    <fill>
      <patternFill patternType="solid">
        <fgColor rgb="FFE8EEF2"/>
        <bgColor rgb="FFF2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8D0"/>
      </left>
      <right style="thin">
        <color rgb="FFBFC8D0"/>
      </right>
      <top style="thin">
        <color rgb="FFBFC8D0"/>
      </top>
      <bottom style="thin">
        <color rgb="FFBFC8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79B"/>
      <rgbColor rgb="FFBFC8D0"/>
      <rgbColor rgb="FF808080"/>
      <rgbColor rgb="FF9999FF"/>
      <rgbColor rgb="FF993366"/>
      <rgbColor rgb="FFFFF6CC"/>
      <rgbColor rgb="FFE8EE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672"/>
      <rgbColor rgb="FF969696"/>
      <rgbColor rgb="FF003366"/>
      <rgbColor rgb="FF339966"/>
      <rgbColor rgb="FF0A0E18"/>
      <rgbColor rgb="FF333300"/>
      <rgbColor rgb="FF993300"/>
      <rgbColor rgb="FF993366"/>
      <rgbColor rgb="FF333399"/>
      <rgbColor rgb="FF1A1F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8"/>
    <col collapsed="false" customWidth="true" hidden="false" outlineLevel="0" max="8" min="3" style="0" width="13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29.85" hidden="false" customHeight="fals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A6" s="3" t="s">
        <v>7</v>
      </c>
      <c r="B6" s="4" t="str">
        <f aca="false">"共 "&amp;COUNTA(WBS!A2:A200)&amp;" 項任務"</f>
        <v>共 137 項任務</v>
      </c>
    </row>
    <row r="7" customFormat="false" ht="15" hidden="false" customHeight="false" outlineLevel="0" collapsed="false">
      <c r="A7" s="3" t="s">
        <v>8</v>
      </c>
      <c r="B7" s="4" t="str">
        <f aca="false">"合計 "&amp;TEXT(SUMIF(WBS!$A$2:$A$400,"&lt;&gt;",WBS!$H$2:$H$400),"0.0")&amp;" 人日（不含管理緩衝）"</f>
        <v>合計 494.0 人日（不含管理緩衝）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5" t="s">
        <v>9</v>
      </c>
      <c r="B9" s="6"/>
    </row>
    <row r="10" customFormat="false" ht="15" hidden="false" customHeight="false" outlineLevel="0" collapsed="false">
      <c r="A10" s="2" t="s">
        <v>10</v>
      </c>
      <c r="B10" s="7" t="s">
        <v>11</v>
      </c>
    </row>
    <row r="11" customFormat="false" ht="15" hidden="false" customHeight="false" outlineLevel="0" collapsed="false">
      <c r="A11" s="2" t="s">
        <v>12</v>
      </c>
      <c r="B11" s="7" t="s">
        <v>13</v>
      </c>
    </row>
    <row r="12" customFormat="false" ht="15" hidden="false" customHeight="false" outlineLevel="0" collapsed="false">
      <c r="A12" s="3" t="s">
        <v>14</v>
      </c>
      <c r="B12" s="7" t="s">
        <v>15</v>
      </c>
    </row>
    <row r="13" customFormat="false" ht="15" hidden="false" customHeight="false" outlineLevel="0" collapsed="false">
      <c r="A13" s="3" t="s">
        <v>16</v>
      </c>
      <c r="B13" s="4" t="s">
        <v>17</v>
      </c>
    </row>
    <row r="14" customFormat="false" ht="15" hidden="false" customHeight="false" outlineLevel="0" collapsed="false">
      <c r="A14" s="3" t="s">
        <v>18</v>
      </c>
      <c r="B14" s="7" t="s">
        <v>19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5" t="s">
        <v>20</v>
      </c>
      <c r="B16" s="6"/>
    </row>
    <row r="17" customFormat="false" ht="15" hidden="false" customHeight="false" outlineLevel="0" collapsed="false">
      <c r="A17" s="3" t="s">
        <v>21</v>
      </c>
      <c r="B17" s="4" t="s">
        <v>22</v>
      </c>
    </row>
    <row r="18" customFormat="false" ht="15" hidden="false" customHeight="false" outlineLevel="0" collapsed="false">
      <c r="A18" s="3" t="s">
        <v>23</v>
      </c>
      <c r="B18" s="7" t="s">
        <v>24</v>
      </c>
    </row>
    <row r="19" customFormat="false" ht="15" hidden="false" customHeight="false" outlineLevel="0" collapsed="false">
      <c r="A19" s="3" t="s">
        <v>25</v>
      </c>
      <c r="B19" s="7" t="s">
        <v>26</v>
      </c>
    </row>
    <row r="20" customFormat="false" ht="15" hidden="false" customHeight="false" outlineLevel="0" collapsed="false">
      <c r="A20" s="3" t="s">
        <v>27</v>
      </c>
      <c r="B20" s="7" t="s">
        <v>28</v>
      </c>
    </row>
    <row r="21" customFormat="false" ht="15" hidden="false" customHeight="false" outlineLevel="0" collapsed="false">
      <c r="A21" s="3" t="s">
        <v>29</v>
      </c>
      <c r="B21" s="7" t="s">
        <v>30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5" t="s">
        <v>31</v>
      </c>
      <c r="B23" s="6"/>
    </row>
    <row r="24" customFormat="false" ht="15" hidden="false" customHeight="false" outlineLevel="0" collapsed="false">
      <c r="A24" s="8" t="s">
        <v>10</v>
      </c>
      <c r="B24" s="8" t="s">
        <v>32</v>
      </c>
      <c r="C24" s="9" t="s">
        <v>33</v>
      </c>
      <c r="D24" s="9" t="s">
        <v>34</v>
      </c>
      <c r="E24" s="9" t="s">
        <v>35</v>
      </c>
      <c r="F24" s="9" t="s">
        <v>36</v>
      </c>
      <c r="G24" s="9" t="s">
        <v>37</v>
      </c>
      <c r="H24" s="9" t="s">
        <v>38</v>
      </c>
    </row>
    <row r="25" customFormat="false" ht="15" hidden="false" customHeight="false" outlineLevel="0" collapsed="false">
      <c r="A25" s="10" t="s">
        <v>39</v>
      </c>
      <c r="B25" s="10" t="s">
        <v>40</v>
      </c>
      <c r="C25" s="11" t="s">
        <v>41</v>
      </c>
      <c r="D25" s="11" t="s">
        <v>42</v>
      </c>
      <c r="E25" s="10" t="s">
        <v>43</v>
      </c>
      <c r="F25" s="12" t="n">
        <v>6</v>
      </c>
      <c r="G25" s="13" t="s">
        <v>44</v>
      </c>
      <c r="H25" s="14" t="n">
        <v>0.3</v>
      </c>
    </row>
    <row r="27" customFormat="false" ht="15" hidden="false" customHeight="false" outlineLevel="0" collapsed="false">
      <c r="A27" s="15" t="s">
        <v>45</v>
      </c>
    </row>
    <row r="28" customFormat="false" ht="15" hidden="false" customHeight="false" outlineLevel="0" collapsed="false">
      <c r="A28" s="16" t="s">
        <v>46</v>
      </c>
    </row>
    <row r="29" customFormat="false" ht="15" hidden="false" customHeight="false" outlineLevel="0" collapsed="false">
      <c r="A29" s="17" t="s">
        <v>47</v>
      </c>
    </row>
    <row r="30" customFormat="false" ht="15" hidden="false" customHeight="false" outlineLevel="0" collapsed="false">
      <c r="A30" s="18" t="s">
        <v>48</v>
      </c>
    </row>
    <row r="31" customFormat="false" ht="15" hidden="false" customHeight="false" outlineLevel="0" collapsed="false">
      <c r="A31" s="19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44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1" min="10" style="0" width="12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42"/>
  </cols>
  <sheetData>
    <row r="1" customFormat="false" ht="30" hidden="false" customHeight="true" outlineLevel="0" collapsed="false">
      <c r="A1" s="20" t="s">
        <v>10</v>
      </c>
      <c r="B1" s="20" t="s">
        <v>32</v>
      </c>
      <c r="C1" s="21" t="s">
        <v>50</v>
      </c>
      <c r="D1" s="21" t="s">
        <v>33</v>
      </c>
      <c r="E1" s="21" t="s">
        <v>51</v>
      </c>
      <c r="F1" s="21" t="s">
        <v>52</v>
      </c>
      <c r="G1" s="21" t="s">
        <v>35</v>
      </c>
      <c r="H1" s="21" t="s">
        <v>53</v>
      </c>
      <c r="I1" s="21" t="s">
        <v>54</v>
      </c>
      <c r="J1" s="21" t="s">
        <v>55</v>
      </c>
      <c r="K1" s="21" t="s">
        <v>56</v>
      </c>
      <c r="L1" s="21" t="s">
        <v>37</v>
      </c>
      <c r="M1" s="21" t="s">
        <v>57</v>
      </c>
      <c r="N1" s="21" t="s">
        <v>58</v>
      </c>
      <c r="O1" s="21" t="s">
        <v>59</v>
      </c>
    </row>
    <row r="2" customFormat="false" ht="15" hidden="false" customHeight="false" outlineLevel="0" collapsed="false">
      <c r="A2" s="22" t="s">
        <v>60</v>
      </c>
      <c r="B2" s="23" t="s">
        <v>61</v>
      </c>
      <c r="C2" s="24" t="s">
        <v>62</v>
      </c>
      <c r="D2" s="24" t="s">
        <v>63</v>
      </c>
      <c r="E2" s="24" t="s">
        <v>64</v>
      </c>
      <c r="F2" s="25" t="s">
        <v>65</v>
      </c>
      <c r="G2" s="23" t="s">
        <v>66</v>
      </c>
      <c r="H2" s="26" t="n">
        <v>1</v>
      </c>
      <c r="I2" s="25"/>
      <c r="J2" s="27" t="n">
        <v>46237</v>
      </c>
      <c r="K2" s="27" t="n">
        <v>46248</v>
      </c>
      <c r="L2" s="28" t="s">
        <v>67</v>
      </c>
      <c r="M2" s="29" t="n">
        <v>0</v>
      </c>
      <c r="N2" s="30" t="n">
        <f aca="false">H2*M2</f>
        <v>0</v>
      </c>
      <c r="O2" s="25" t="s">
        <v>68</v>
      </c>
    </row>
    <row r="3" customFormat="false" ht="26.85" hidden="false" customHeight="false" outlineLevel="0" collapsed="false">
      <c r="A3" s="22" t="s">
        <v>69</v>
      </c>
      <c r="B3" s="23" t="s">
        <v>61</v>
      </c>
      <c r="C3" s="24" t="s">
        <v>62</v>
      </c>
      <c r="D3" s="24" t="s">
        <v>63</v>
      </c>
      <c r="E3" s="24" t="s">
        <v>70</v>
      </c>
      <c r="F3" s="25" t="s">
        <v>71</v>
      </c>
      <c r="G3" s="23" t="s">
        <v>66</v>
      </c>
      <c r="H3" s="26" t="n">
        <v>3</v>
      </c>
      <c r="I3" s="25" t="s">
        <v>60</v>
      </c>
      <c r="J3" s="27" t="n">
        <v>46237</v>
      </c>
      <c r="K3" s="27" t="n">
        <v>46248</v>
      </c>
      <c r="L3" s="28" t="s">
        <v>67</v>
      </c>
      <c r="M3" s="29" t="n">
        <v>0</v>
      </c>
      <c r="N3" s="30" t="n">
        <f aca="false">H3*M3</f>
        <v>0</v>
      </c>
      <c r="O3" s="24" t="s">
        <v>72</v>
      </c>
    </row>
    <row r="4" customFormat="false" ht="39.55" hidden="false" customHeight="false" outlineLevel="0" collapsed="false">
      <c r="A4" s="22" t="s">
        <v>73</v>
      </c>
      <c r="B4" s="23" t="s">
        <v>61</v>
      </c>
      <c r="C4" s="24" t="s">
        <v>62</v>
      </c>
      <c r="D4" s="24" t="s">
        <v>63</v>
      </c>
      <c r="E4" s="24" t="s">
        <v>74</v>
      </c>
      <c r="F4" s="25" t="s">
        <v>75</v>
      </c>
      <c r="G4" s="23" t="s">
        <v>66</v>
      </c>
      <c r="H4" s="26" t="n">
        <v>3</v>
      </c>
      <c r="I4" s="25"/>
      <c r="J4" s="27" t="n">
        <v>46237</v>
      </c>
      <c r="K4" s="27" t="n">
        <v>46248</v>
      </c>
      <c r="L4" s="28" t="s">
        <v>67</v>
      </c>
      <c r="M4" s="29" t="n">
        <v>0</v>
      </c>
      <c r="N4" s="30" t="n">
        <f aca="false">H4*M4</f>
        <v>0</v>
      </c>
      <c r="O4" s="25" t="s">
        <v>76</v>
      </c>
    </row>
    <row r="5" customFormat="false" ht="26.85" hidden="false" customHeight="false" outlineLevel="0" collapsed="false">
      <c r="A5" s="22" t="s">
        <v>77</v>
      </c>
      <c r="B5" s="23" t="s">
        <v>61</v>
      </c>
      <c r="C5" s="24" t="s">
        <v>62</v>
      </c>
      <c r="D5" s="24" t="s">
        <v>63</v>
      </c>
      <c r="E5" s="25" t="s">
        <v>78</v>
      </c>
      <c r="F5" s="25" t="s">
        <v>79</v>
      </c>
      <c r="G5" s="23" t="s">
        <v>80</v>
      </c>
      <c r="H5" s="26" t="n">
        <v>2</v>
      </c>
      <c r="I5" s="25" t="s">
        <v>73</v>
      </c>
      <c r="J5" s="27" t="n">
        <v>46237</v>
      </c>
      <c r="K5" s="27" t="n">
        <v>46248</v>
      </c>
      <c r="L5" s="28" t="s">
        <v>67</v>
      </c>
      <c r="M5" s="29" t="n">
        <v>0</v>
      </c>
      <c r="N5" s="30" t="n">
        <f aca="false">H5*M5</f>
        <v>0</v>
      </c>
      <c r="O5" s="25" t="s">
        <v>81</v>
      </c>
    </row>
    <row r="6" customFormat="false" ht="26.85" hidden="false" customHeight="false" outlineLevel="0" collapsed="false">
      <c r="A6" s="22" t="s">
        <v>82</v>
      </c>
      <c r="B6" s="23" t="s">
        <v>61</v>
      </c>
      <c r="C6" s="24" t="s">
        <v>62</v>
      </c>
      <c r="D6" s="24" t="s">
        <v>63</v>
      </c>
      <c r="E6" s="24" t="s">
        <v>83</v>
      </c>
      <c r="F6" s="25" t="s">
        <v>84</v>
      </c>
      <c r="G6" s="23" t="s">
        <v>66</v>
      </c>
      <c r="H6" s="26" t="n">
        <v>2.5</v>
      </c>
      <c r="I6" s="25" t="s">
        <v>77</v>
      </c>
      <c r="J6" s="27" t="n">
        <v>46237</v>
      </c>
      <c r="K6" s="27" t="n">
        <v>46248</v>
      </c>
      <c r="L6" s="28" t="s">
        <v>67</v>
      </c>
      <c r="M6" s="29" t="n">
        <v>0</v>
      </c>
      <c r="N6" s="30" t="n">
        <f aca="false">H6*M6</f>
        <v>0</v>
      </c>
      <c r="O6" s="25" t="s">
        <v>85</v>
      </c>
    </row>
    <row r="7" customFormat="false" ht="26.85" hidden="false" customHeight="false" outlineLevel="0" collapsed="false">
      <c r="A7" s="22" t="s">
        <v>86</v>
      </c>
      <c r="B7" s="23" t="s">
        <v>61</v>
      </c>
      <c r="C7" s="24" t="s">
        <v>62</v>
      </c>
      <c r="D7" s="24" t="s">
        <v>63</v>
      </c>
      <c r="E7" s="25" t="s">
        <v>87</v>
      </c>
      <c r="F7" s="25" t="s">
        <v>88</v>
      </c>
      <c r="G7" s="23" t="s">
        <v>43</v>
      </c>
      <c r="H7" s="26" t="n">
        <v>3</v>
      </c>
      <c r="I7" s="25" t="s">
        <v>60</v>
      </c>
      <c r="J7" s="27" t="n">
        <v>46237</v>
      </c>
      <c r="K7" s="27" t="n">
        <v>46248</v>
      </c>
      <c r="L7" s="28" t="s">
        <v>67</v>
      </c>
      <c r="M7" s="29" t="n">
        <v>0</v>
      </c>
      <c r="N7" s="30" t="n">
        <f aca="false">H7*M7</f>
        <v>0</v>
      </c>
      <c r="O7" s="24" t="s">
        <v>89</v>
      </c>
    </row>
    <row r="8" customFormat="false" ht="26.85" hidden="false" customHeight="false" outlineLevel="0" collapsed="false">
      <c r="A8" s="22" t="s">
        <v>90</v>
      </c>
      <c r="B8" s="23" t="s">
        <v>61</v>
      </c>
      <c r="C8" s="24" t="s">
        <v>62</v>
      </c>
      <c r="D8" s="24" t="s">
        <v>63</v>
      </c>
      <c r="E8" s="24" t="s">
        <v>91</v>
      </c>
      <c r="F8" s="25" t="s">
        <v>92</v>
      </c>
      <c r="G8" s="23" t="s">
        <v>66</v>
      </c>
      <c r="H8" s="26" t="n">
        <v>3</v>
      </c>
      <c r="I8" s="25" t="s">
        <v>86</v>
      </c>
      <c r="J8" s="27" t="n">
        <v>46237</v>
      </c>
      <c r="K8" s="27" t="n">
        <v>46248</v>
      </c>
      <c r="L8" s="28" t="s">
        <v>67</v>
      </c>
      <c r="M8" s="29" t="n">
        <v>0</v>
      </c>
      <c r="N8" s="30" t="n">
        <f aca="false">H8*M8</f>
        <v>0</v>
      </c>
      <c r="O8" s="24" t="s">
        <v>93</v>
      </c>
    </row>
    <row r="9" customFormat="false" ht="15" hidden="false" customHeight="false" outlineLevel="0" collapsed="false">
      <c r="A9" s="22" t="s">
        <v>94</v>
      </c>
      <c r="B9" s="23" t="s">
        <v>61</v>
      </c>
      <c r="C9" s="24" t="s">
        <v>62</v>
      </c>
      <c r="D9" s="24" t="s">
        <v>63</v>
      </c>
      <c r="E9" s="24" t="s">
        <v>95</v>
      </c>
      <c r="F9" s="25" t="s">
        <v>96</v>
      </c>
      <c r="G9" s="23" t="s">
        <v>66</v>
      </c>
      <c r="H9" s="26" t="n">
        <v>2</v>
      </c>
      <c r="I9" s="25" t="s">
        <v>73</v>
      </c>
      <c r="J9" s="27" t="n">
        <v>46237</v>
      </c>
      <c r="K9" s="27" t="n">
        <v>46248</v>
      </c>
      <c r="L9" s="28" t="s">
        <v>67</v>
      </c>
      <c r="M9" s="29" t="n">
        <v>0</v>
      </c>
      <c r="N9" s="30" t="n">
        <f aca="false">H9*M9</f>
        <v>0</v>
      </c>
      <c r="O9" s="25" t="s">
        <v>97</v>
      </c>
    </row>
    <row r="10" customFormat="false" ht="15" hidden="false" customHeight="false" outlineLevel="0" collapsed="false">
      <c r="A10" s="22" t="s">
        <v>98</v>
      </c>
      <c r="B10" s="23" t="s">
        <v>61</v>
      </c>
      <c r="C10" s="24" t="s">
        <v>62</v>
      </c>
      <c r="D10" s="24" t="s">
        <v>99</v>
      </c>
      <c r="E10" s="24" t="s">
        <v>100</v>
      </c>
      <c r="F10" s="24" t="s">
        <v>101</v>
      </c>
      <c r="G10" s="23" t="s">
        <v>102</v>
      </c>
      <c r="H10" s="26" t="n">
        <v>2</v>
      </c>
      <c r="I10" s="25"/>
      <c r="J10" s="27" t="n">
        <v>46237</v>
      </c>
      <c r="K10" s="27" t="n">
        <v>46248</v>
      </c>
      <c r="L10" s="28" t="s">
        <v>67</v>
      </c>
      <c r="M10" s="29" t="n">
        <v>0</v>
      </c>
      <c r="N10" s="30" t="n">
        <f aca="false">H10*M10</f>
        <v>0</v>
      </c>
      <c r="O10" s="24" t="s">
        <v>103</v>
      </c>
    </row>
    <row r="11" customFormat="false" ht="26.85" hidden="false" customHeight="false" outlineLevel="0" collapsed="false">
      <c r="A11" s="31" t="s">
        <v>104</v>
      </c>
      <c r="B11" s="32" t="s">
        <v>105</v>
      </c>
      <c r="C11" s="33" t="s">
        <v>106</v>
      </c>
      <c r="D11" s="33" t="s">
        <v>107</v>
      </c>
      <c r="E11" s="33" t="s">
        <v>108</v>
      </c>
      <c r="F11" s="34" t="s">
        <v>109</v>
      </c>
      <c r="G11" s="32" t="s">
        <v>80</v>
      </c>
      <c r="H11" s="35" t="n">
        <v>2</v>
      </c>
      <c r="I11" s="34" t="s">
        <v>77</v>
      </c>
      <c r="J11" s="36" t="n">
        <v>46251</v>
      </c>
      <c r="K11" s="36" t="n">
        <v>46262</v>
      </c>
      <c r="L11" s="28" t="s">
        <v>67</v>
      </c>
      <c r="M11" s="29" t="n">
        <v>0</v>
      </c>
      <c r="N11" s="37" t="n">
        <f aca="false">H11*M11</f>
        <v>0</v>
      </c>
      <c r="O11" s="33" t="s">
        <v>110</v>
      </c>
    </row>
    <row r="12" customFormat="false" ht="15" hidden="false" customHeight="false" outlineLevel="0" collapsed="false">
      <c r="A12" s="31" t="s">
        <v>111</v>
      </c>
      <c r="B12" s="32" t="s">
        <v>105</v>
      </c>
      <c r="C12" s="33" t="s">
        <v>106</v>
      </c>
      <c r="D12" s="33" t="s">
        <v>107</v>
      </c>
      <c r="E12" s="34" t="s">
        <v>112</v>
      </c>
      <c r="F12" s="33" t="s">
        <v>113</v>
      </c>
      <c r="G12" s="32" t="s">
        <v>43</v>
      </c>
      <c r="H12" s="35" t="n">
        <v>3</v>
      </c>
      <c r="I12" s="34" t="s">
        <v>114</v>
      </c>
      <c r="J12" s="36" t="n">
        <v>46251</v>
      </c>
      <c r="K12" s="36" t="n">
        <v>46262</v>
      </c>
      <c r="L12" s="28" t="s">
        <v>67</v>
      </c>
      <c r="M12" s="29" t="n">
        <v>0</v>
      </c>
      <c r="N12" s="37" t="n">
        <f aca="false">H12*M12</f>
        <v>0</v>
      </c>
      <c r="O12" s="33" t="s">
        <v>115</v>
      </c>
    </row>
    <row r="13" customFormat="false" ht="24.6" hidden="false" customHeight="false" outlineLevel="0" collapsed="false">
      <c r="A13" s="31" t="s">
        <v>116</v>
      </c>
      <c r="B13" s="32" t="s">
        <v>105</v>
      </c>
      <c r="C13" s="33" t="s">
        <v>106</v>
      </c>
      <c r="D13" s="33" t="s">
        <v>107</v>
      </c>
      <c r="E13" s="33" t="s">
        <v>117</v>
      </c>
      <c r="F13" s="33" t="s">
        <v>118</v>
      </c>
      <c r="G13" s="32" t="s">
        <v>80</v>
      </c>
      <c r="H13" s="35" t="n">
        <v>2.5</v>
      </c>
      <c r="I13" s="34" t="s">
        <v>104</v>
      </c>
      <c r="J13" s="36" t="n">
        <v>46251</v>
      </c>
      <c r="K13" s="36" t="n">
        <v>46262</v>
      </c>
      <c r="L13" s="28" t="s">
        <v>67</v>
      </c>
      <c r="M13" s="29" t="n">
        <v>0</v>
      </c>
      <c r="N13" s="37" t="n">
        <f aca="false">H13*M13</f>
        <v>0</v>
      </c>
      <c r="O13" s="34" t="s">
        <v>119</v>
      </c>
    </row>
    <row r="14" customFormat="false" ht="15" hidden="false" customHeight="false" outlineLevel="0" collapsed="false">
      <c r="A14" s="31" t="s">
        <v>120</v>
      </c>
      <c r="B14" s="32" t="s">
        <v>105</v>
      </c>
      <c r="C14" s="33" t="s">
        <v>106</v>
      </c>
      <c r="D14" s="33" t="s">
        <v>107</v>
      </c>
      <c r="E14" s="33" t="s">
        <v>121</v>
      </c>
      <c r="F14" s="33" t="s">
        <v>122</v>
      </c>
      <c r="G14" s="32" t="s">
        <v>123</v>
      </c>
      <c r="H14" s="35" t="n">
        <v>5</v>
      </c>
      <c r="I14" s="34" t="s">
        <v>111</v>
      </c>
      <c r="J14" s="36" t="n">
        <v>46251</v>
      </c>
      <c r="K14" s="36" t="n">
        <v>46262</v>
      </c>
      <c r="L14" s="28" t="s">
        <v>67</v>
      </c>
      <c r="M14" s="29" t="n">
        <v>0</v>
      </c>
      <c r="N14" s="37" t="n">
        <f aca="false">H14*M14</f>
        <v>0</v>
      </c>
      <c r="O14" s="33" t="s">
        <v>124</v>
      </c>
    </row>
    <row r="15" customFormat="false" ht="15" hidden="false" customHeight="false" outlineLevel="0" collapsed="false">
      <c r="A15" s="31" t="s">
        <v>125</v>
      </c>
      <c r="B15" s="32" t="s">
        <v>105</v>
      </c>
      <c r="C15" s="33" t="s">
        <v>106</v>
      </c>
      <c r="D15" s="33" t="s">
        <v>107</v>
      </c>
      <c r="E15" s="33" t="s">
        <v>126</v>
      </c>
      <c r="F15" s="34" t="s">
        <v>127</v>
      </c>
      <c r="G15" s="32" t="s">
        <v>128</v>
      </c>
      <c r="H15" s="35" t="n">
        <v>3</v>
      </c>
      <c r="I15" s="34" t="s">
        <v>111</v>
      </c>
      <c r="J15" s="36" t="n">
        <v>46251</v>
      </c>
      <c r="K15" s="36" t="n">
        <v>46262</v>
      </c>
      <c r="L15" s="28" t="s">
        <v>67</v>
      </c>
      <c r="M15" s="29" t="n">
        <v>0</v>
      </c>
      <c r="N15" s="37" t="n">
        <f aca="false">H15*M15</f>
        <v>0</v>
      </c>
      <c r="O15" s="33" t="s">
        <v>129</v>
      </c>
    </row>
    <row r="16" customFormat="false" ht="15" hidden="false" customHeight="false" outlineLevel="0" collapsed="false">
      <c r="A16" s="31" t="s">
        <v>130</v>
      </c>
      <c r="B16" s="32" t="s">
        <v>105</v>
      </c>
      <c r="C16" s="33" t="s">
        <v>106</v>
      </c>
      <c r="D16" s="33" t="s">
        <v>107</v>
      </c>
      <c r="E16" s="33" t="s">
        <v>131</v>
      </c>
      <c r="F16" s="33" t="s">
        <v>132</v>
      </c>
      <c r="G16" s="32" t="s">
        <v>133</v>
      </c>
      <c r="H16" s="35" t="n">
        <v>3</v>
      </c>
      <c r="I16" s="34" t="s">
        <v>111</v>
      </c>
      <c r="J16" s="36" t="n">
        <v>46251</v>
      </c>
      <c r="K16" s="36" t="n">
        <v>46262</v>
      </c>
      <c r="L16" s="28" t="s">
        <v>67</v>
      </c>
      <c r="M16" s="29" t="n">
        <v>0</v>
      </c>
      <c r="N16" s="37" t="n">
        <f aca="false">H16*M16</f>
        <v>0</v>
      </c>
      <c r="O16" s="33" t="s">
        <v>134</v>
      </c>
    </row>
    <row r="17" customFormat="false" ht="26.85" hidden="false" customHeight="false" outlineLevel="0" collapsed="false">
      <c r="A17" s="31" t="s">
        <v>135</v>
      </c>
      <c r="B17" s="32" t="s">
        <v>105</v>
      </c>
      <c r="C17" s="33" t="s">
        <v>106</v>
      </c>
      <c r="D17" s="33" t="s">
        <v>107</v>
      </c>
      <c r="E17" s="34" t="s">
        <v>136</v>
      </c>
      <c r="F17" s="34" t="s">
        <v>137</v>
      </c>
      <c r="G17" s="32" t="s">
        <v>138</v>
      </c>
      <c r="H17" s="35" t="n">
        <v>4</v>
      </c>
      <c r="I17" s="34" t="s">
        <v>111</v>
      </c>
      <c r="J17" s="36" t="n">
        <v>46251</v>
      </c>
      <c r="K17" s="36" t="n">
        <v>46262</v>
      </c>
      <c r="L17" s="28" t="s">
        <v>67</v>
      </c>
      <c r="M17" s="29" t="n">
        <v>0</v>
      </c>
      <c r="N17" s="37" t="n">
        <f aca="false">H17*M17</f>
        <v>0</v>
      </c>
      <c r="O17" s="33" t="s">
        <v>139</v>
      </c>
    </row>
    <row r="18" customFormat="false" ht="26.85" hidden="false" customHeight="false" outlineLevel="0" collapsed="false">
      <c r="A18" s="31" t="s">
        <v>140</v>
      </c>
      <c r="B18" s="32" t="s">
        <v>105</v>
      </c>
      <c r="C18" s="33" t="s">
        <v>106</v>
      </c>
      <c r="D18" s="33" t="s">
        <v>107</v>
      </c>
      <c r="E18" s="33" t="s">
        <v>141</v>
      </c>
      <c r="F18" s="34" t="s">
        <v>142</v>
      </c>
      <c r="G18" s="32" t="s">
        <v>128</v>
      </c>
      <c r="H18" s="35" t="n">
        <v>2.5</v>
      </c>
      <c r="I18" s="34" t="s">
        <v>111</v>
      </c>
      <c r="J18" s="36" t="n">
        <v>46251</v>
      </c>
      <c r="K18" s="36" t="n">
        <v>46262</v>
      </c>
      <c r="L18" s="28" t="s">
        <v>67</v>
      </c>
      <c r="M18" s="29" t="n">
        <v>0</v>
      </c>
      <c r="N18" s="37" t="n">
        <f aca="false">H18*M18</f>
        <v>0</v>
      </c>
      <c r="O18" s="33" t="s">
        <v>143</v>
      </c>
    </row>
    <row r="19" customFormat="false" ht="24.6" hidden="false" customHeight="false" outlineLevel="0" collapsed="false">
      <c r="A19" s="31" t="s">
        <v>144</v>
      </c>
      <c r="B19" s="32" t="s">
        <v>105</v>
      </c>
      <c r="C19" s="33" t="s">
        <v>106</v>
      </c>
      <c r="D19" s="33" t="s">
        <v>107</v>
      </c>
      <c r="E19" s="34" t="s">
        <v>145</v>
      </c>
      <c r="F19" s="34" t="s">
        <v>146</v>
      </c>
      <c r="G19" s="32" t="s">
        <v>43</v>
      </c>
      <c r="H19" s="35" t="n">
        <v>4</v>
      </c>
      <c r="I19" s="34" t="s">
        <v>86</v>
      </c>
      <c r="J19" s="36" t="n">
        <v>46251</v>
      </c>
      <c r="K19" s="36" t="n">
        <v>46262</v>
      </c>
      <c r="L19" s="28" t="s">
        <v>67</v>
      </c>
      <c r="M19" s="29" t="n">
        <v>0</v>
      </c>
      <c r="N19" s="37" t="n">
        <f aca="false">H19*M19</f>
        <v>0</v>
      </c>
      <c r="O19" s="33" t="s">
        <v>147</v>
      </c>
    </row>
    <row r="20" customFormat="false" ht="15" hidden="false" customHeight="false" outlineLevel="0" collapsed="false">
      <c r="A20" s="31" t="s">
        <v>148</v>
      </c>
      <c r="B20" s="32" t="s">
        <v>105</v>
      </c>
      <c r="C20" s="33" t="s">
        <v>106</v>
      </c>
      <c r="D20" s="33" t="s">
        <v>149</v>
      </c>
      <c r="E20" s="33" t="s">
        <v>150</v>
      </c>
      <c r="F20" s="33" t="s">
        <v>151</v>
      </c>
      <c r="G20" s="32" t="s">
        <v>152</v>
      </c>
      <c r="H20" s="35" t="n">
        <v>3</v>
      </c>
      <c r="I20" s="34" t="s">
        <v>116</v>
      </c>
      <c r="J20" s="36" t="n">
        <v>46251</v>
      </c>
      <c r="K20" s="36" t="n">
        <v>46262</v>
      </c>
      <c r="L20" s="28" t="s">
        <v>67</v>
      </c>
      <c r="M20" s="29" t="n">
        <v>0</v>
      </c>
      <c r="N20" s="37" t="n">
        <f aca="false">H20*M20</f>
        <v>0</v>
      </c>
      <c r="O20" s="33" t="s">
        <v>153</v>
      </c>
    </row>
    <row r="21" customFormat="false" ht="15" hidden="false" customHeight="false" outlineLevel="0" collapsed="false">
      <c r="A21" s="22" t="s">
        <v>154</v>
      </c>
      <c r="B21" s="23" t="s">
        <v>155</v>
      </c>
      <c r="C21" s="24" t="s">
        <v>156</v>
      </c>
      <c r="D21" s="24" t="s">
        <v>157</v>
      </c>
      <c r="E21" s="24" t="s">
        <v>158</v>
      </c>
      <c r="F21" s="25" t="s">
        <v>159</v>
      </c>
      <c r="G21" s="23" t="s">
        <v>80</v>
      </c>
      <c r="H21" s="26" t="n">
        <v>2</v>
      </c>
      <c r="I21" s="25" t="s">
        <v>104</v>
      </c>
      <c r="J21" s="27" t="n">
        <v>46265</v>
      </c>
      <c r="K21" s="27" t="n">
        <v>46276</v>
      </c>
      <c r="L21" s="28" t="s">
        <v>67</v>
      </c>
      <c r="M21" s="29" t="n">
        <v>0</v>
      </c>
      <c r="N21" s="30" t="n">
        <f aca="false">H21*M21</f>
        <v>0</v>
      </c>
      <c r="O21" s="25" t="s">
        <v>160</v>
      </c>
    </row>
    <row r="22" customFormat="false" ht="15" hidden="false" customHeight="false" outlineLevel="0" collapsed="false">
      <c r="A22" s="22" t="s">
        <v>161</v>
      </c>
      <c r="B22" s="23" t="s">
        <v>155</v>
      </c>
      <c r="C22" s="24" t="s">
        <v>156</v>
      </c>
      <c r="D22" s="24" t="s">
        <v>157</v>
      </c>
      <c r="E22" s="24" t="s">
        <v>162</v>
      </c>
      <c r="F22" s="25" t="s">
        <v>163</v>
      </c>
      <c r="G22" s="23" t="s">
        <v>123</v>
      </c>
      <c r="H22" s="26" t="n">
        <v>3</v>
      </c>
      <c r="I22" s="25" t="s">
        <v>154</v>
      </c>
      <c r="J22" s="27" t="n">
        <v>46265</v>
      </c>
      <c r="K22" s="27" t="n">
        <v>46276</v>
      </c>
      <c r="L22" s="28" t="s">
        <v>67</v>
      </c>
      <c r="M22" s="29" t="n">
        <v>0</v>
      </c>
      <c r="N22" s="30" t="n">
        <f aca="false">H22*M22</f>
        <v>0</v>
      </c>
      <c r="O22" s="24" t="s">
        <v>164</v>
      </c>
    </row>
    <row r="23" customFormat="false" ht="26.85" hidden="false" customHeight="false" outlineLevel="0" collapsed="false">
      <c r="A23" s="22" t="s">
        <v>165</v>
      </c>
      <c r="B23" s="23" t="s">
        <v>155</v>
      </c>
      <c r="C23" s="24" t="s">
        <v>156</v>
      </c>
      <c r="D23" s="24" t="s">
        <v>157</v>
      </c>
      <c r="E23" s="25" t="s">
        <v>166</v>
      </c>
      <c r="F23" s="25" t="s">
        <v>167</v>
      </c>
      <c r="G23" s="23" t="s">
        <v>133</v>
      </c>
      <c r="H23" s="26" t="n">
        <v>4</v>
      </c>
      <c r="I23" s="25" t="s">
        <v>161</v>
      </c>
      <c r="J23" s="27" t="n">
        <v>46265</v>
      </c>
      <c r="K23" s="27" t="n">
        <v>46276</v>
      </c>
      <c r="L23" s="28" t="s">
        <v>67</v>
      </c>
      <c r="M23" s="29" t="n">
        <v>0</v>
      </c>
      <c r="N23" s="30" t="n">
        <f aca="false">H23*M23</f>
        <v>0</v>
      </c>
      <c r="O23" s="25" t="s">
        <v>168</v>
      </c>
    </row>
    <row r="24" customFormat="false" ht="24.6" hidden="false" customHeight="false" outlineLevel="0" collapsed="false">
      <c r="A24" s="22" t="s">
        <v>169</v>
      </c>
      <c r="B24" s="23" t="s">
        <v>155</v>
      </c>
      <c r="C24" s="24" t="s">
        <v>156</v>
      </c>
      <c r="D24" s="24" t="s">
        <v>157</v>
      </c>
      <c r="E24" s="25" t="s">
        <v>170</v>
      </c>
      <c r="F24" s="25" t="s">
        <v>171</v>
      </c>
      <c r="G24" s="23" t="s">
        <v>138</v>
      </c>
      <c r="H24" s="26" t="n">
        <v>5</v>
      </c>
      <c r="I24" s="25" t="s">
        <v>165</v>
      </c>
      <c r="J24" s="27" t="n">
        <v>46265</v>
      </c>
      <c r="K24" s="27" t="n">
        <v>46276</v>
      </c>
      <c r="L24" s="28" t="s">
        <v>67</v>
      </c>
      <c r="M24" s="29" t="n">
        <v>0</v>
      </c>
      <c r="N24" s="30" t="n">
        <f aca="false">H24*M24</f>
        <v>0</v>
      </c>
      <c r="O24" s="24" t="s">
        <v>172</v>
      </c>
    </row>
    <row r="25" customFormat="false" ht="15" hidden="false" customHeight="false" outlineLevel="0" collapsed="false">
      <c r="A25" s="22" t="s">
        <v>173</v>
      </c>
      <c r="B25" s="23" t="s">
        <v>155</v>
      </c>
      <c r="C25" s="24" t="s">
        <v>156</v>
      </c>
      <c r="D25" s="24" t="s">
        <v>157</v>
      </c>
      <c r="E25" s="25" t="s">
        <v>174</v>
      </c>
      <c r="F25" s="25" t="s">
        <v>175</v>
      </c>
      <c r="G25" s="23" t="s">
        <v>133</v>
      </c>
      <c r="H25" s="26" t="n">
        <v>4</v>
      </c>
      <c r="I25" s="25" t="s">
        <v>165</v>
      </c>
      <c r="J25" s="27" t="n">
        <v>46265</v>
      </c>
      <c r="K25" s="27" t="n">
        <v>46276</v>
      </c>
      <c r="L25" s="28" t="s">
        <v>67</v>
      </c>
      <c r="M25" s="29" t="n">
        <v>0</v>
      </c>
      <c r="N25" s="30" t="n">
        <f aca="false">H25*M25</f>
        <v>0</v>
      </c>
      <c r="O25" s="24" t="s">
        <v>176</v>
      </c>
    </row>
    <row r="26" customFormat="false" ht="24.6" hidden="false" customHeight="false" outlineLevel="0" collapsed="false">
      <c r="A26" s="22" t="s">
        <v>177</v>
      </c>
      <c r="B26" s="23" t="s">
        <v>155</v>
      </c>
      <c r="C26" s="24" t="s">
        <v>156</v>
      </c>
      <c r="D26" s="24" t="s">
        <v>157</v>
      </c>
      <c r="E26" s="24" t="s">
        <v>178</v>
      </c>
      <c r="F26" s="25" t="s">
        <v>179</v>
      </c>
      <c r="G26" s="23" t="s">
        <v>123</v>
      </c>
      <c r="H26" s="26" t="n">
        <v>6</v>
      </c>
      <c r="I26" s="25" t="s">
        <v>165</v>
      </c>
      <c r="J26" s="27" t="n">
        <v>46265</v>
      </c>
      <c r="K26" s="27" t="n">
        <v>46276</v>
      </c>
      <c r="L26" s="28" t="s">
        <v>67</v>
      </c>
      <c r="M26" s="29" t="n">
        <v>0</v>
      </c>
      <c r="N26" s="30" t="n">
        <f aca="false">H26*M26</f>
        <v>0</v>
      </c>
      <c r="O26" s="24" t="s">
        <v>180</v>
      </c>
    </row>
    <row r="27" customFormat="false" ht="26.85" hidden="false" customHeight="false" outlineLevel="0" collapsed="false">
      <c r="A27" s="22" t="s">
        <v>181</v>
      </c>
      <c r="B27" s="23" t="s">
        <v>155</v>
      </c>
      <c r="C27" s="24" t="s">
        <v>156</v>
      </c>
      <c r="D27" s="24" t="s">
        <v>157</v>
      </c>
      <c r="E27" s="25" t="s">
        <v>182</v>
      </c>
      <c r="F27" s="24" t="s">
        <v>183</v>
      </c>
      <c r="G27" s="23" t="s">
        <v>138</v>
      </c>
      <c r="H27" s="26" t="n">
        <v>4</v>
      </c>
      <c r="I27" s="25" t="s">
        <v>184</v>
      </c>
      <c r="J27" s="27" t="n">
        <v>46265</v>
      </c>
      <c r="K27" s="27" t="n">
        <v>46276</v>
      </c>
      <c r="L27" s="28" t="s">
        <v>67</v>
      </c>
      <c r="M27" s="29" t="n">
        <v>0</v>
      </c>
      <c r="N27" s="30" t="n">
        <f aca="false">H27*M27</f>
        <v>0</v>
      </c>
      <c r="O27" s="24" t="s">
        <v>185</v>
      </c>
    </row>
    <row r="28" customFormat="false" ht="15" hidden="false" customHeight="false" outlineLevel="0" collapsed="false">
      <c r="A28" s="22" t="s">
        <v>186</v>
      </c>
      <c r="B28" s="23" t="s">
        <v>155</v>
      </c>
      <c r="C28" s="24" t="s">
        <v>156</v>
      </c>
      <c r="D28" s="24" t="s">
        <v>157</v>
      </c>
      <c r="E28" s="25" t="s">
        <v>187</v>
      </c>
      <c r="F28" s="25" t="s">
        <v>188</v>
      </c>
      <c r="G28" s="23" t="s">
        <v>128</v>
      </c>
      <c r="H28" s="26" t="n">
        <v>5</v>
      </c>
      <c r="I28" s="25" t="s">
        <v>181</v>
      </c>
      <c r="J28" s="27" t="n">
        <v>46265</v>
      </c>
      <c r="K28" s="27" t="n">
        <v>46276</v>
      </c>
      <c r="L28" s="28" t="s">
        <v>67</v>
      </c>
      <c r="M28" s="29" t="n">
        <v>0</v>
      </c>
      <c r="N28" s="30" t="n">
        <f aca="false">H28*M28</f>
        <v>0</v>
      </c>
      <c r="O28" s="25" t="s">
        <v>189</v>
      </c>
    </row>
    <row r="29" customFormat="false" ht="26.85" hidden="false" customHeight="false" outlineLevel="0" collapsed="false">
      <c r="A29" s="22" t="s">
        <v>190</v>
      </c>
      <c r="B29" s="23" t="s">
        <v>155</v>
      </c>
      <c r="C29" s="24" t="s">
        <v>156</v>
      </c>
      <c r="D29" s="24" t="s">
        <v>191</v>
      </c>
      <c r="E29" s="25" t="s">
        <v>192</v>
      </c>
      <c r="F29" s="25" t="s">
        <v>193</v>
      </c>
      <c r="G29" s="23" t="s">
        <v>43</v>
      </c>
      <c r="H29" s="26" t="n">
        <v>4</v>
      </c>
      <c r="I29" s="25" t="s">
        <v>154</v>
      </c>
      <c r="J29" s="27" t="n">
        <v>46265</v>
      </c>
      <c r="K29" s="27" t="n">
        <v>46276</v>
      </c>
      <c r="L29" s="28" t="s">
        <v>67</v>
      </c>
      <c r="M29" s="29" t="n">
        <v>0</v>
      </c>
      <c r="N29" s="30" t="n">
        <f aca="false">H29*M29</f>
        <v>0</v>
      </c>
      <c r="O29" s="24" t="s">
        <v>194</v>
      </c>
    </row>
    <row r="30" customFormat="false" ht="15" hidden="false" customHeight="false" outlineLevel="0" collapsed="false">
      <c r="A30" s="22" t="s">
        <v>195</v>
      </c>
      <c r="B30" s="23" t="s">
        <v>155</v>
      </c>
      <c r="C30" s="24" t="s">
        <v>156</v>
      </c>
      <c r="D30" s="24" t="s">
        <v>191</v>
      </c>
      <c r="E30" s="24" t="s">
        <v>196</v>
      </c>
      <c r="F30" s="24" t="s">
        <v>197</v>
      </c>
      <c r="G30" s="23" t="s">
        <v>128</v>
      </c>
      <c r="H30" s="26" t="n">
        <v>4</v>
      </c>
      <c r="I30" s="25" t="s">
        <v>190</v>
      </c>
      <c r="J30" s="27" t="n">
        <v>46265</v>
      </c>
      <c r="K30" s="27" t="n">
        <v>46276</v>
      </c>
      <c r="L30" s="28" t="s">
        <v>67</v>
      </c>
      <c r="M30" s="29" t="n">
        <v>0</v>
      </c>
      <c r="N30" s="30" t="n">
        <f aca="false">H30*M30</f>
        <v>0</v>
      </c>
      <c r="O30" s="24" t="s">
        <v>198</v>
      </c>
    </row>
    <row r="31" customFormat="false" ht="15" hidden="false" customHeight="false" outlineLevel="0" collapsed="false">
      <c r="A31" s="22" t="s">
        <v>199</v>
      </c>
      <c r="B31" s="23" t="s">
        <v>155</v>
      </c>
      <c r="C31" s="24" t="s">
        <v>156</v>
      </c>
      <c r="D31" s="24" t="s">
        <v>149</v>
      </c>
      <c r="E31" s="25" t="s">
        <v>200</v>
      </c>
      <c r="F31" s="24" t="s">
        <v>201</v>
      </c>
      <c r="G31" s="23" t="s">
        <v>66</v>
      </c>
      <c r="H31" s="26" t="n">
        <v>3</v>
      </c>
      <c r="I31" s="25" t="s">
        <v>73</v>
      </c>
      <c r="J31" s="27" t="n">
        <v>46265</v>
      </c>
      <c r="K31" s="27" t="n">
        <v>46276</v>
      </c>
      <c r="L31" s="28" t="s">
        <v>67</v>
      </c>
      <c r="M31" s="29" t="n">
        <v>0</v>
      </c>
      <c r="N31" s="30" t="n">
        <f aca="false">H31*M31</f>
        <v>0</v>
      </c>
      <c r="O31" s="24" t="s">
        <v>202</v>
      </c>
    </row>
    <row r="32" customFormat="false" ht="15" hidden="false" customHeight="false" outlineLevel="0" collapsed="false">
      <c r="A32" s="22" t="s">
        <v>203</v>
      </c>
      <c r="B32" s="23" t="s">
        <v>155</v>
      </c>
      <c r="C32" s="24" t="s">
        <v>156</v>
      </c>
      <c r="D32" s="24" t="s">
        <v>149</v>
      </c>
      <c r="E32" s="24" t="s">
        <v>204</v>
      </c>
      <c r="F32" s="24" t="s">
        <v>205</v>
      </c>
      <c r="G32" s="23" t="s">
        <v>152</v>
      </c>
      <c r="H32" s="26" t="n">
        <v>4</v>
      </c>
      <c r="I32" s="25" t="s">
        <v>195</v>
      </c>
      <c r="J32" s="27" t="n">
        <v>46265</v>
      </c>
      <c r="K32" s="27" t="n">
        <v>46276</v>
      </c>
      <c r="L32" s="28" t="s">
        <v>67</v>
      </c>
      <c r="M32" s="29" t="n">
        <v>0</v>
      </c>
      <c r="N32" s="30" t="n">
        <f aca="false">H32*M32</f>
        <v>0</v>
      </c>
      <c r="O32" s="24" t="s">
        <v>206</v>
      </c>
    </row>
    <row r="33" customFormat="false" ht="15" hidden="false" customHeight="false" outlineLevel="0" collapsed="false">
      <c r="A33" s="31" t="s">
        <v>207</v>
      </c>
      <c r="B33" s="32" t="s">
        <v>208</v>
      </c>
      <c r="C33" s="33" t="s">
        <v>209</v>
      </c>
      <c r="D33" s="33" t="s">
        <v>210</v>
      </c>
      <c r="E33" s="33" t="s">
        <v>211</v>
      </c>
      <c r="F33" s="34" t="s">
        <v>212</v>
      </c>
      <c r="G33" s="32" t="s">
        <v>80</v>
      </c>
      <c r="H33" s="35" t="n">
        <v>2</v>
      </c>
      <c r="I33" s="34" t="s">
        <v>104</v>
      </c>
      <c r="J33" s="36" t="n">
        <v>46279</v>
      </c>
      <c r="K33" s="36" t="n">
        <v>46290</v>
      </c>
      <c r="L33" s="28" t="s">
        <v>67</v>
      </c>
      <c r="M33" s="29" t="n">
        <v>0</v>
      </c>
      <c r="N33" s="37" t="n">
        <f aca="false">H33*M33</f>
        <v>0</v>
      </c>
      <c r="O33" s="33" t="s">
        <v>213</v>
      </c>
    </row>
    <row r="34" customFormat="false" ht="26.85" hidden="false" customHeight="false" outlineLevel="0" collapsed="false">
      <c r="A34" s="31" t="s">
        <v>214</v>
      </c>
      <c r="B34" s="32" t="s">
        <v>208</v>
      </c>
      <c r="C34" s="33" t="s">
        <v>209</v>
      </c>
      <c r="D34" s="33" t="s">
        <v>210</v>
      </c>
      <c r="E34" s="33" t="s">
        <v>215</v>
      </c>
      <c r="F34" s="34" t="s">
        <v>216</v>
      </c>
      <c r="G34" s="32" t="s">
        <v>138</v>
      </c>
      <c r="H34" s="35" t="n">
        <v>5</v>
      </c>
      <c r="I34" s="34" t="s">
        <v>217</v>
      </c>
      <c r="J34" s="36" t="n">
        <v>46279</v>
      </c>
      <c r="K34" s="36" t="n">
        <v>46290</v>
      </c>
      <c r="L34" s="28" t="s">
        <v>67</v>
      </c>
      <c r="M34" s="29" t="n">
        <v>0</v>
      </c>
      <c r="N34" s="37" t="n">
        <f aca="false">H34*M34</f>
        <v>0</v>
      </c>
      <c r="O34" s="34" t="s">
        <v>218</v>
      </c>
    </row>
    <row r="35" customFormat="false" ht="15" hidden="false" customHeight="false" outlineLevel="0" collapsed="false">
      <c r="A35" s="31" t="s">
        <v>219</v>
      </c>
      <c r="B35" s="32" t="s">
        <v>208</v>
      </c>
      <c r="C35" s="33" t="s">
        <v>209</v>
      </c>
      <c r="D35" s="33" t="s">
        <v>210</v>
      </c>
      <c r="E35" s="33" t="s">
        <v>220</v>
      </c>
      <c r="F35" s="34" t="s">
        <v>221</v>
      </c>
      <c r="G35" s="32" t="s">
        <v>138</v>
      </c>
      <c r="H35" s="35" t="n">
        <v>3</v>
      </c>
      <c r="I35" s="34" t="s">
        <v>214</v>
      </c>
      <c r="J35" s="36" t="n">
        <v>46279</v>
      </c>
      <c r="K35" s="36" t="n">
        <v>46290</v>
      </c>
      <c r="L35" s="28" t="s">
        <v>67</v>
      </c>
      <c r="M35" s="29" t="n">
        <v>0</v>
      </c>
      <c r="N35" s="37" t="n">
        <f aca="false">H35*M35</f>
        <v>0</v>
      </c>
      <c r="O35" s="33" t="s">
        <v>222</v>
      </c>
    </row>
    <row r="36" customFormat="false" ht="15" hidden="false" customHeight="false" outlineLevel="0" collapsed="false">
      <c r="A36" s="31" t="s">
        <v>223</v>
      </c>
      <c r="B36" s="32" t="s">
        <v>208</v>
      </c>
      <c r="C36" s="33" t="s">
        <v>209</v>
      </c>
      <c r="D36" s="34" t="s">
        <v>224</v>
      </c>
      <c r="E36" s="34" t="s">
        <v>225</v>
      </c>
      <c r="F36" s="34" t="s">
        <v>226</v>
      </c>
      <c r="G36" s="32" t="s">
        <v>123</v>
      </c>
      <c r="H36" s="35" t="n">
        <v>6</v>
      </c>
      <c r="I36" s="34" t="s">
        <v>214</v>
      </c>
      <c r="J36" s="36" t="n">
        <v>46279</v>
      </c>
      <c r="K36" s="36" t="n">
        <v>46290</v>
      </c>
      <c r="L36" s="28" t="s">
        <v>67</v>
      </c>
      <c r="M36" s="29" t="n">
        <v>0</v>
      </c>
      <c r="N36" s="37" t="n">
        <f aca="false">H36*M36</f>
        <v>0</v>
      </c>
      <c r="O36" s="33" t="s">
        <v>227</v>
      </c>
    </row>
    <row r="37" customFormat="false" ht="15" hidden="false" customHeight="false" outlineLevel="0" collapsed="false">
      <c r="A37" s="31" t="s">
        <v>228</v>
      </c>
      <c r="B37" s="32" t="s">
        <v>208</v>
      </c>
      <c r="C37" s="33" t="s">
        <v>209</v>
      </c>
      <c r="D37" s="34" t="s">
        <v>224</v>
      </c>
      <c r="E37" s="33" t="s">
        <v>229</v>
      </c>
      <c r="F37" s="34" t="s">
        <v>230</v>
      </c>
      <c r="G37" s="32" t="s">
        <v>128</v>
      </c>
      <c r="H37" s="35" t="n">
        <v>3</v>
      </c>
      <c r="I37" s="34" t="s">
        <v>223</v>
      </c>
      <c r="J37" s="36" t="n">
        <v>46279</v>
      </c>
      <c r="K37" s="36" t="n">
        <v>46290</v>
      </c>
      <c r="L37" s="28" t="s">
        <v>67</v>
      </c>
      <c r="M37" s="29" t="n">
        <v>0</v>
      </c>
      <c r="N37" s="37" t="n">
        <f aca="false">H37*M37</f>
        <v>0</v>
      </c>
      <c r="O37" s="34" t="s">
        <v>231</v>
      </c>
    </row>
    <row r="38" customFormat="false" ht="15" hidden="false" customHeight="false" outlineLevel="0" collapsed="false">
      <c r="A38" s="31" t="s">
        <v>232</v>
      </c>
      <c r="B38" s="32" t="s">
        <v>208</v>
      </c>
      <c r="C38" s="33" t="s">
        <v>209</v>
      </c>
      <c r="D38" s="33" t="s">
        <v>233</v>
      </c>
      <c r="E38" s="33" t="s">
        <v>234</v>
      </c>
      <c r="F38" s="34" t="s">
        <v>235</v>
      </c>
      <c r="G38" s="32" t="s">
        <v>128</v>
      </c>
      <c r="H38" s="35" t="n">
        <v>5</v>
      </c>
      <c r="I38" s="34" t="s">
        <v>217</v>
      </c>
      <c r="J38" s="36" t="n">
        <v>46279</v>
      </c>
      <c r="K38" s="36" t="n">
        <v>46290</v>
      </c>
      <c r="L38" s="28" t="s">
        <v>67</v>
      </c>
      <c r="M38" s="29" t="n">
        <v>0</v>
      </c>
      <c r="N38" s="37" t="n">
        <f aca="false">H38*M38</f>
        <v>0</v>
      </c>
      <c r="O38" s="34" t="s">
        <v>236</v>
      </c>
    </row>
    <row r="39" customFormat="false" ht="15" hidden="false" customHeight="false" outlineLevel="0" collapsed="false">
      <c r="A39" s="31" t="s">
        <v>237</v>
      </c>
      <c r="B39" s="32" t="s">
        <v>208</v>
      </c>
      <c r="C39" s="33" t="s">
        <v>209</v>
      </c>
      <c r="D39" s="33" t="s">
        <v>233</v>
      </c>
      <c r="E39" s="33" t="s">
        <v>238</v>
      </c>
      <c r="F39" s="34" t="s">
        <v>239</v>
      </c>
      <c r="G39" s="32" t="s">
        <v>133</v>
      </c>
      <c r="H39" s="35" t="n">
        <v>4</v>
      </c>
      <c r="I39" s="34" t="s">
        <v>232</v>
      </c>
      <c r="J39" s="36" t="n">
        <v>46279</v>
      </c>
      <c r="K39" s="36" t="n">
        <v>46290</v>
      </c>
      <c r="L39" s="28" t="s">
        <v>67</v>
      </c>
      <c r="M39" s="29" t="n">
        <v>0</v>
      </c>
      <c r="N39" s="37" t="n">
        <f aca="false">H39*M39</f>
        <v>0</v>
      </c>
      <c r="O39" s="34" t="s">
        <v>240</v>
      </c>
    </row>
    <row r="40" customFormat="false" ht="15" hidden="false" customHeight="false" outlineLevel="0" collapsed="false">
      <c r="A40" s="31" t="s">
        <v>241</v>
      </c>
      <c r="B40" s="32" t="s">
        <v>208</v>
      </c>
      <c r="C40" s="33" t="s">
        <v>209</v>
      </c>
      <c r="D40" s="33" t="s">
        <v>233</v>
      </c>
      <c r="E40" s="33" t="s">
        <v>242</v>
      </c>
      <c r="F40" s="33" t="s">
        <v>243</v>
      </c>
      <c r="G40" s="32" t="s">
        <v>123</v>
      </c>
      <c r="H40" s="35" t="n">
        <v>3</v>
      </c>
      <c r="I40" s="34" t="s">
        <v>232</v>
      </c>
      <c r="J40" s="36" t="n">
        <v>46279</v>
      </c>
      <c r="K40" s="36" t="n">
        <v>46290</v>
      </c>
      <c r="L40" s="28" t="s">
        <v>67</v>
      </c>
      <c r="M40" s="29" t="n">
        <v>0</v>
      </c>
      <c r="N40" s="37" t="n">
        <f aca="false">H40*M40</f>
        <v>0</v>
      </c>
      <c r="O40" s="33" t="s">
        <v>244</v>
      </c>
    </row>
    <row r="41" customFormat="false" ht="15" hidden="false" customHeight="false" outlineLevel="0" collapsed="false">
      <c r="A41" s="31" t="s">
        <v>245</v>
      </c>
      <c r="B41" s="32" t="s">
        <v>208</v>
      </c>
      <c r="C41" s="33" t="s">
        <v>209</v>
      </c>
      <c r="D41" s="33" t="s">
        <v>233</v>
      </c>
      <c r="E41" s="33" t="s">
        <v>246</v>
      </c>
      <c r="F41" s="33" t="s">
        <v>247</v>
      </c>
      <c r="G41" s="32" t="s">
        <v>138</v>
      </c>
      <c r="H41" s="35" t="n">
        <v>3</v>
      </c>
      <c r="I41" s="34" t="s">
        <v>232</v>
      </c>
      <c r="J41" s="36" t="n">
        <v>46279</v>
      </c>
      <c r="K41" s="36" t="n">
        <v>46290</v>
      </c>
      <c r="L41" s="28" t="s">
        <v>67</v>
      </c>
      <c r="M41" s="29" t="n">
        <v>0</v>
      </c>
      <c r="N41" s="37" t="n">
        <f aca="false">H41*M41</f>
        <v>0</v>
      </c>
      <c r="O41" s="33" t="s">
        <v>248</v>
      </c>
    </row>
    <row r="42" customFormat="false" ht="15" hidden="false" customHeight="false" outlineLevel="0" collapsed="false">
      <c r="A42" s="31" t="s">
        <v>249</v>
      </c>
      <c r="B42" s="32" t="s">
        <v>208</v>
      </c>
      <c r="C42" s="33" t="s">
        <v>209</v>
      </c>
      <c r="D42" s="33" t="s">
        <v>233</v>
      </c>
      <c r="E42" s="33" t="s">
        <v>250</v>
      </c>
      <c r="F42" s="33" t="s">
        <v>251</v>
      </c>
      <c r="G42" s="32" t="s">
        <v>133</v>
      </c>
      <c r="H42" s="35" t="n">
        <v>4</v>
      </c>
      <c r="I42" s="34" t="s">
        <v>232</v>
      </c>
      <c r="J42" s="36" t="n">
        <v>46279</v>
      </c>
      <c r="K42" s="36" t="n">
        <v>46290</v>
      </c>
      <c r="L42" s="28" t="s">
        <v>67</v>
      </c>
      <c r="M42" s="29" t="n">
        <v>0</v>
      </c>
      <c r="N42" s="37" t="n">
        <f aca="false">H42*M42</f>
        <v>0</v>
      </c>
      <c r="O42" s="33" t="s">
        <v>252</v>
      </c>
    </row>
    <row r="43" customFormat="false" ht="15" hidden="false" customHeight="false" outlineLevel="0" collapsed="false">
      <c r="A43" s="31" t="s">
        <v>253</v>
      </c>
      <c r="B43" s="32" t="s">
        <v>208</v>
      </c>
      <c r="C43" s="33" t="s">
        <v>209</v>
      </c>
      <c r="D43" s="33" t="s">
        <v>149</v>
      </c>
      <c r="E43" s="33" t="s">
        <v>254</v>
      </c>
      <c r="F43" s="34" t="s">
        <v>255</v>
      </c>
      <c r="G43" s="32" t="s">
        <v>152</v>
      </c>
      <c r="H43" s="35" t="n">
        <v>4</v>
      </c>
      <c r="I43" s="34" t="s">
        <v>249</v>
      </c>
      <c r="J43" s="36" t="n">
        <v>46279</v>
      </c>
      <c r="K43" s="36" t="n">
        <v>46290</v>
      </c>
      <c r="L43" s="28" t="s">
        <v>67</v>
      </c>
      <c r="M43" s="29" t="n">
        <v>0</v>
      </c>
      <c r="N43" s="37" t="n">
        <f aca="false">H43*M43</f>
        <v>0</v>
      </c>
      <c r="O43" s="33" t="s">
        <v>206</v>
      </c>
    </row>
    <row r="44" customFormat="false" ht="26.85" hidden="false" customHeight="false" outlineLevel="0" collapsed="false">
      <c r="A44" s="22" t="s">
        <v>256</v>
      </c>
      <c r="B44" s="23" t="s">
        <v>40</v>
      </c>
      <c r="C44" s="24" t="s">
        <v>257</v>
      </c>
      <c r="D44" s="24" t="s">
        <v>41</v>
      </c>
      <c r="E44" s="24" t="s">
        <v>258</v>
      </c>
      <c r="F44" s="25" t="s">
        <v>259</v>
      </c>
      <c r="G44" s="23" t="s">
        <v>80</v>
      </c>
      <c r="H44" s="26" t="n">
        <v>2.5</v>
      </c>
      <c r="I44" s="25" t="s">
        <v>104</v>
      </c>
      <c r="J44" s="27" t="n">
        <v>46293</v>
      </c>
      <c r="K44" s="27" t="n">
        <v>46304</v>
      </c>
      <c r="L44" s="28" t="s">
        <v>67</v>
      </c>
      <c r="M44" s="29" t="n">
        <v>0</v>
      </c>
      <c r="N44" s="30" t="n">
        <f aca="false">H44*M44</f>
        <v>0</v>
      </c>
      <c r="O44" s="25" t="s">
        <v>260</v>
      </c>
    </row>
    <row r="45" customFormat="false" ht="15" hidden="false" customHeight="false" outlineLevel="0" collapsed="false">
      <c r="A45" s="22" t="s">
        <v>39</v>
      </c>
      <c r="B45" s="23" t="s">
        <v>40</v>
      </c>
      <c r="C45" s="24" t="s">
        <v>257</v>
      </c>
      <c r="D45" s="24" t="s">
        <v>41</v>
      </c>
      <c r="E45" s="24" t="s">
        <v>42</v>
      </c>
      <c r="F45" s="24" t="s">
        <v>261</v>
      </c>
      <c r="G45" s="23" t="s">
        <v>43</v>
      </c>
      <c r="H45" s="26" t="n">
        <v>6</v>
      </c>
      <c r="I45" s="25" t="s">
        <v>262</v>
      </c>
      <c r="J45" s="27" t="n">
        <v>46293</v>
      </c>
      <c r="K45" s="27" t="n">
        <v>46304</v>
      </c>
      <c r="L45" s="28" t="s">
        <v>67</v>
      </c>
      <c r="M45" s="29" t="n">
        <v>0</v>
      </c>
      <c r="N45" s="30" t="n">
        <f aca="false">H45*M45</f>
        <v>0</v>
      </c>
      <c r="O45" s="24" t="s">
        <v>263</v>
      </c>
    </row>
    <row r="46" customFormat="false" ht="15" hidden="false" customHeight="false" outlineLevel="0" collapsed="false">
      <c r="A46" s="22" t="s">
        <v>264</v>
      </c>
      <c r="B46" s="23" t="s">
        <v>40</v>
      </c>
      <c r="C46" s="24" t="s">
        <v>257</v>
      </c>
      <c r="D46" s="24" t="s">
        <v>41</v>
      </c>
      <c r="E46" s="24" t="s">
        <v>265</v>
      </c>
      <c r="F46" s="25" t="s">
        <v>266</v>
      </c>
      <c r="G46" s="23" t="s">
        <v>123</v>
      </c>
      <c r="H46" s="26" t="n">
        <v>6</v>
      </c>
      <c r="I46" s="25" t="s">
        <v>267</v>
      </c>
      <c r="J46" s="27" t="n">
        <v>46293</v>
      </c>
      <c r="K46" s="27" t="n">
        <v>46304</v>
      </c>
      <c r="L46" s="28" t="s">
        <v>67</v>
      </c>
      <c r="M46" s="29" t="n">
        <v>0</v>
      </c>
      <c r="N46" s="30" t="n">
        <f aca="false">H46*M46</f>
        <v>0</v>
      </c>
      <c r="O46" s="25" t="s">
        <v>268</v>
      </c>
    </row>
    <row r="47" customFormat="false" ht="15" hidden="false" customHeight="false" outlineLevel="0" collapsed="false">
      <c r="A47" s="22" t="s">
        <v>269</v>
      </c>
      <c r="B47" s="23" t="s">
        <v>40</v>
      </c>
      <c r="C47" s="24" t="s">
        <v>257</v>
      </c>
      <c r="D47" s="24" t="s">
        <v>41</v>
      </c>
      <c r="E47" s="25" t="s">
        <v>270</v>
      </c>
      <c r="F47" s="24" t="s">
        <v>271</v>
      </c>
      <c r="G47" s="23" t="s">
        <v>123</v>
      </c>
      <c r="H47" s="26" t="n">
        <v>2.5</v>
      </c>
      <c r="I47" s="25" t="s">
        <v>39</v>
      </c>
      <c r="J47" s="27" t="n">
        <v>46293</v>
      </c>
      <c r="K47" s="27" t="n">
        <v>46304</v>
      </c>
      <c r="L47" s="28" t="s">
        <v>67</v>
      </c>
      <c r="M47" s="29" t="n">
        <v>0</v>
      </c>
      <c r="N47" s="30" t="n">
        <f aca="false">H47*M47</f>
        <v>0</v>
      </c>
      <c r="O47" s="24" t="s">
        <v>272</v>
      </c>
    </row>
    <row r="48" customFormat="false" ht="15" hidden="false" customHeight="false" outlineLevel="0" collapsed="false">
      <c r="A48" s="22" t="s">
        <v>273</v>
      </c>
      <c r="B48" s="23" t="s">
        <v>40</v>
      </c>
      <c r="C48" s="24" t="s">
        <v>257</v>
      </c>
      <c r="D48" s="24" t="s">
        <v>41</v>
      </c>
      <c r="E48" s="24" t="s">
        <v>274</v>
      </c>
      <c r="F48" s="24" t="s">
        <v>275</v>
      </c>
      <c r="G48" s="23" t="s">
        <v>138</v>
      </c>
      <c r="H48" s="26" t="n">
        <v>5</v>
      </c>
      <c r="I48" s="25" t="s">
        <v>264</v>
      </c>
      <c r="J48" s="27" t="n">
        <v>46293</v>
      </c>
      <c r="K48" s="27" t="n">
        <v>46304</v>
      </c>
      <c r="L48" s="28" t="s">
        <v>67</v>
      </c>
      <c r="M48" s="29" t="n">
        <v>0</v>
      </c>
      <c r="N48" s="30" t="n">
        <f aca="false">H48*M48</f>
        <v>0</v>
      </c>
      <c r="O48" s="24" t="s">
        <v>276</v>
      </c>
    </row>
    <row r="49" customFormat="false" ht="24.6" hidden="false" customHeight="false" outlineLevel="0" collapsed="false">
      <c r="A49" s="22" t="s">
        <v>277</v>
      </c>
      <c r="B49" s="23" t="s">
        <v>40</v>
      </c>
      <c r="C49" s="24" t="s">
        <v>257</v>
      </c>
      <c r="D49" s="24" t="s">
        <v>41</v>
      </c>
      <c r="E49" s="24" t="s">
        <v>278</v>
      </c>
      <c r="F49" s="25" t="s">
        <v>279</v>
      </c>
      <c r="G49" s="23" t="s">
        <v>128</v>
      </c>
      <c r="H49" s="26" t="n">
        <v>5</v>
      </c>
      <c r="I49" s="25" t="s">
        <v>39</v>
      </c>
      <c r="J49" s="27" t="n">
        <v>46293</v>
      </c>
      <c r="K49" s="27" t="n">
        <v>46304</v>
      </c>
      <c r="L49" s="28" t="s">
        <v>67</v>
      </c>
      <c r="M49" s="29" t="n">
        <v>0</v>
      </c>
      <c r="N49" s="30" t="n">
        <f aca="false">H49*M49</f>
        <v>0</v>
      </c>
      <c r="O49" s="24" t="s">
        <v>280</v>
      </c>
    </row>
    <row r="50" customFormat="false" ht="15" hidden="false" customHeight="false" outlineLevel="0" collapsed="false">
      <c r="A50" s="22" t="s">
        <v>281</v>
      </c>
      <c r="B50" s="23" t="s">
        <v>40</v>
      </c>
      <c r="C50" s="24" t="s">
        <v>257</v>
      </c>
      <c r="D50" s="25" t="s">
        <v>282</v>
      </c>
      <c r="E50" s="25" t="s">
        <v>283</v>
      </c>
      <c r="F50" s="24" t="s">
        <v>284</v>
      </c>
      <c r="G50" s="23" t="s">
        <v>133</v>
      </c>
      <c r="H50" s="26" t="n">
        <v>4</v>
      </c>
      <c r="I50" s="25" t="s">
        <v>39</v>
      </c>
      <c r="J50" s="27" t="n">
        <v>46293</v>
      </c>
      <c r="K50" s="27" t="n">
        <v>46304</v>
      </c>
      <c r="L50" s="28" t="s">
        <v>67</v>
      </c>
      <c r="M50" s="29" t="n">
        <v>0</v>
      </c>
      <c r="N50" s="30" t="n">
        <f aca="false">H50*M50</f>
        <v>0</v>
      </c>
      <c r="O50" s="24" t="s">
        <v>285</v>
      </c>
    </row>
    <row r="51" customFormat="false" ht="15" hidden="false" customHeight="false" outlineLevel="0" collapsed="false">
      <c r="A51" s="22" t="s">
        <v>286</v>
      </c>
      <c r="B51" s="23" t="s">
        <v>40</v>
      </c>
      <c r="C51" s="24" t="s">
        <v>257</v>
      </c>
      <c r="D51" s="25" t="s">
        <v>282</v>
      </c>
      <c r="E51" s="25" t="s">
        <v>287</v>
      </c>
      <c r="F51" s="24" t="s">
        <v>288</v>
      </c>
      <c r="G51" s="23" t="s">
        <v>138</v>
      </c>
      <c r="H51" s="26" t="n">
        <v>3</v>
      </c>
      <c r="I51" s="25" t="s">
        <v>289</v>
      </c>
      <c r="J51" s="27" t="n">
        <v>46293</v>
      </c>
      <c r="K51" s="27" t="n">
        <v>46304</v>
      </c>
      <c r="L51" s="28" t="s">
        <v>67</v>
      </c>
      <c r="M51" s="29" t="n">
        <v>0</v>
      </c>
      <c r="N51" s="30" t="n">
        <f aca="false">H51*M51</f>
        <v>0</v>
      </c>
      <c r="O51" s="24" t="s">
        <v>290</v>
      </c>
    </row>
    <row r="52" customFormat="false" ht="15" hidden="false" customHeight="false" outlineLevel="0" collapsed="false">
      <c r="A52" s="22" t="s">
        <v>291</v>
      </c>
      <c r="B52" s="23" t="s">
        <v>40</v>
      </c>
      <c r="C52" s="24" t="s">
        <v>257</v>
      </c>
      <c r="D52" s="24" t="s">
        <v>292</v>
      </c>
      <c r="E52" s="24" t="s">
        <v>293</v>
      </c>
      <c r="F52" s="24" t="s">
        <v>294</v>
      </c>
      <c r="G52" s="23" t="s">
        <v>133</v>
      </c>
      <c r="H52" s="26" t="n">
        <v>4</v>
      </c>
      <c r="I52" s="25" t="s">
        <v>135</v>
      </c>
      <c r="J52" s="27" t="n">
        <v>46293</v>
      </c>
      <c r="K52" s="27" t="n">
        <v>46304</v>
      </c>
      <c r="L52" s="28" t="s">
        <v>67</v>
      </c>
      <c r="M52" s="29" t="n">
        <v>0</v>
      </c>
      <c r="N52" s="30" t="n">
        <f aca="false">H52*M52</f>
        <v>0</v>
      </c>
      <c r="O52" s="24" t="s">
        <v>295</v>
      </c>
    </row>
    <row r="53" customFormat="false" ht="15" hidden="false" customHeight="false" outlineLevel="0" collapsed="false">
      <c r="A53" s="22" t="s">
        <v>296</v>
      </c>
      <c r="B53" s="23" t="s">
        <v>40</v>
      </c>
      <c r="C53" s="24" t="s">
        <v>257</v>
      </c>
      <c r="D53" s="24" t="s">
        <v>297</v>
      </c>
      <c r="E53" s="24" t="s">
        <v>298</v>
      </c>
      <c r="F53" s="25" t="s">
        <v>299</v>
      </c>
      <c r="G53" s="23" t="s">
        <v>128</v>
      </c>
      <c r="H53" s="26" t="n">
        <v>3</v>
      </c>
      <c r="I53" s="25" t="s">
        <v>144</v>
      </c>
      <c r="J53" s="27" t="n">
        <v>46293</v>
      </c>
      <c r="K53" s="27" t="n">
        <v>46304</v>
      </c>
      <c r="L53" s="28" t="s">
        <v>67</v>
      </c>
      <c r="M53" s="29" t="n">
        <v>0</v>
      </c>
      <c r="N53" s="30" t="n">
        <f aca="false">H53*M53</f>
        <v>0</v>
      </c>
      <c r="O53" s="24" t="s">
        <v>300</v>
      </c>
    </row>
    <row r="54" customFormat="false" ht="15" hidden="false" customHeight="false" outlineLevel="0" collapsed="false">
      <c r="A54" s="22" t="s">
        <v>301</v>
      </c>
      <c r="B54" s="23" t="s">
        <v>40</v>
      </c>
      <c r="C54" s="24" t="s">
        <v>257</v>
      </c>
      <c r="D54" s="24" t="s">
        <v>149</v>
      </c>
      <c r="E54" s="24" t="s">
        <v>302</v>
      </c>
      <c r="F54" s="24" t="s">
        <v>303</v>
      </c>
      <c r="G54" s="23" t="s">
        <v>152</v>
      </c>
      <c r="H54" s="26" t="n">
        <v>5</v>
      </c>
      <c r="I54" s="25" t="s">
        <v>286</v>
      </c>
      <c r="J54" s="27" t="n">
        <v>46293</v>
      </c>
      <c r="K54" s="27" t="n">
        <v>46304</v>
      </c>
      <c r="L54" s="28" t="s">
        <v>67</v>
      </c>
      <c r="M54" s="29" t="n">
        <v>0</v>
      </c>
      <c r="N54" s="30" t="n">
        <f aca="false">H54*M54</f>
        <v>0</v>
      </c>
      <c r="O54" s="24" t="s">
        <v>304</v>
      </c>
    </row>
    <row r="55" customFormat="false" ht="15" hidden="false" customHeight="false" outlineLevel="0" collapsed="false">
      <c r="A55" s="31" t="s">
        <v>305</v>
      </c>
      <c r="B55" s="32" t="s">
        <v>306</v>
      </c>
      <c r="C55" s="34" t="s">
        <v>307</v>
      </c>
      <c r="D55" s="34" t="s">
        <v>308</v>
      </c>
      <c r="E55" s="33" t="s">
        <v>309</v>
      </c>
      <c r="F55" s="34" t="s">
        <v>310</v>
      </c>
      <c r="G55" s="32" t="s">
        <v>128</v>
      </c>
      <c r="H55" s="35" t="n">
        <v>4</v>
      </c>
      <c r="I55" s="34" t="s">
        <v>264</v>
      </c>
      <c r="J55" s="36" t="n">
        <v>46307</v>
      </c>
      <c r="K55" s="36" t="n">
        <v>46318</v>
      </c>
      <c r="L55" s="28" t="s">
        <v>67</v>
      </c>
      <c r="M55" s="29" t="n">
        <v>0</v>
      </c>
      <c r="N55" s="37" t="n">
        <f aca="false">H55*M55</f>
        <v>0</v>
      </c>
      <c r="O55" s="33" t="s">
        <v>311</v>
      </c>
    </row>
    <row r="56" customFormat="false" ht="15" hidden="false" customHeight="false" outlineLevel="0" collapsed="false">
      <c r="A56" s="31" t="s">
        <v>312</v>
      </c>
      <c r="B56" s="32" t="s">
        <v>306</v>
      </c>
      <c r="C56" s="34" t="s">
        <v>307</v>
      </c>
      <c r="D56" s="34" t="s">
        <v>308</v>
      </c>
      <c r="E56" s="33" t="s">
        <v>313</v>
      </c>
      <c r="F56" s="34" t="s">
        <v>314</v>
      </c>
      <c r="G56" s="32" t="s">
        <v>133</v>
      </c>
      <c r="H56" s="35" t="n">
        <v>4</v>
      </c>
      <c r="I56" s="34" t="s">
        <v>305</v>
      </c>
      <c r="J56" s="36" t="n">
        <v>46307</v>
      </c>
      <c r="K56" s="36" t="n">
        <v>46318</v>
      </c>
      <c r="L56" s="28" t="s">
        <v>67</v>
      </c>
      <c r="M56" s="29" t="n">
        <v>0</v>
      </c>
      <c r="N56" s="37" t="n">
        <f aca="false">H56*M56</f>
        <v>0</v>
      </c>
      <c r="O56" s="33" t="s">
        <v>315</v>
      </c>
    </row>
    <row r="57" customFormat="false" ht="15" hidden="false" customHeight="false" outlineLevel="0" collapsed="false">
      <c r="A57" s="31" t="s">
        <v>316</v>
      </c>
      <c r="B57" s="32" t="s">
        <v>306</v>
      </c>
      <c r="C57" s="34" t="s">
        <v>307</v>
      </c>
      <c r="D57" s="34" t="s">
        <v>308</v>
      </c>
      <c r="E57" s="33" t="s">
        <v>317</v>
      </c>
      <c r="F57" s="33" t="s">
        <v>318</v>
      </c>
      <c r="G57" s="32" t="s">
        <v>123</v>
      </c>
      <c r="H57" s="35" t="n">
        <v>2.5</v>
      </c>
      <c r="I57" s="34" t="s">
        <v>312</v>
      </c>
      <c r="J57" s="36" t="n">
        <v>46307</v>
      </c>
      <c r="K57" s="36" t="n">
        <v>46318</v>
      </c>
      <c r="L57" s="28" t="s">
        <v>67</v>
      </c>
      <c r="M57" s="29" t="n">
        <v>0</v>
      </c>
      <c r="N57" s="37" t="n">
        <f aca="false">H57*M57</f>
        <v>0</v>
      </c>
      <c r="O57" s="33" t="s">
        <v>319</v>
      </c>
    </row>
    <row r="58" customFormat="false" ht="15" hidden="false" customHeight="false" outlineLevel="0" collapsed="false">
      <c r="A58" s="31" t="s">
        <v>320</v>
      </c>
      <c r="B58" s="32" t="s">
        <v>306</v>
      </c>
      <c r="C58" s="34" t="s">
        <v>307</v>
      </c>
      <c r="D58" s="34" t="s">
        <v>102</v>
      </c>
      <c r="E58" s="33" t="s">
        <v>321</v>
      </c>
      <c r="F58" s="33" t="s">
        <v>322</v>
      </c>
      <c r="G58" s="32" t="s">
        <v>123</v>
      </c>
      <c r="H58" s="35" t="n">
        <v>5</v>
      </c>
      <c r="I58" s="34" t="s">
        <v>323</v>
      </c>
      <c r="J58" s="36" t="n">
        <v>46307</v>
      </c>
      <c r="K58" s="36" t="n">
        <v>46318</v>
      </c>
      <c r="L58" s="28" t="s">
        <v>67</v>
      </c>
      <c r="M58" s="29" t="n">
        <v>0</v>
      </c>
      <c r="N58" s="37" t="n">
        <f aca="false">H58*M58</f>
        <v>0</v>
      </c>
      <c r="O58" s="33" t="s">
        <v>324</v>
      </c>
    </row>
    <row r="59" customFormat="false" ht="15" hidden="false" customHeight="false" outlineLevel="0" collapsed="false">
      <c r="A59" s="31" t="s">
        <v>325</v>
      </c>
      <c r="B59" s="32" t="s">
        <v>306</v>
      </c>
      <c r="C59" s="34" t="s">
        <v>307</v>
      </c>
      <c r="D59" s="34" t="s">
        <v>102</v>
      </c>
      <c r="E59" s="33" t="s">
        <v>326</v>
      </c>
      <c r="F59" s="34" t="s">
        <v>327</v>
      </c>
      <c r="G59" s="32" t="s">
        <v>138</v>
      </c>
      <c r="H59" s="35" t="n">
        <v>2.5</v>
      </c>
      <c r="I59" s="34" t="s">
        <v>320</v>
      </c>
      <c r="J59" s="36" t="n">
        <v>46307</v>
      </c>
      <c r="K59" s="36" t="n">
        <v>46318</v>
      </c>
      <c r="L59" s="28" t="s">
        <v>67</v>
      </c>
      <c r="M59" s="29" t="n">
        <v>0</v>
      </c>
      <c r="N59" s="37" t="n">
        <f aca="false">H59*M59</f>
        <v>0</v>
      </c>
      <c r="O59" s="34" t="s">
        <v>328</v>
      </c>
    </row>
    <row r="60" customFormat="false" ht="15" hidden="false" customHeight="false" outlineLevel="0" collapsed="false">
      <c r="A60" s="31" t="s">
        <v>329</v>
      </c>
      <c r="B60" s="32" t="s">
        <v>306</v>
      </c>
      <c r="C60" s="34" t="s">
        <v>307</v>
      </c>
      <c r="D60" s="34" t="s">
        <v>102</v>
      </c>
      <c r="E60" s="34" t="s">
        <v>330</v>
      </c>
      <c r="F60" s="33" t="s">
        <v>331</v>
      </c>
      <c r="G60" s="32" t="s">
        <v>138</v>
      </c>
      <c r="H60" s="35" t="n">
        <v>5</v>
      </c>
      <c r="I60" s="34" t="s">
        <v>332</v>
      </c>
      <c r="J60" s="36" t="n">
        <v>46307</v>
      </c>
      <c r="K60" s="36" t="n">
        <v>46318</v>
      </c>
      <c r="L60" s="28" t="s">
        <v>67</v>
      </c>
      <c r="M60" s="29" t="n">
        <v>0</v>
      </c>
      <c r="N60" s="37" t="n">
        <f aca="false">H60*M60</f>
        <v>0</v>
      </c>
      <c r="O60" s="33" t="s">
        <v>333</v>
      </c>
    </row>
    <row r="61" customFormat="false" ht="15" hidden="false" customHeight="false" outlineLevel="0" collapsed="false">
      <c r="A61" s="31" t="s">
        <v>334</v>
      </c>
      <c r="B61" s="32" t="s">
        <v>306</v>
      </c>
      <c r="C61" s="34" t="s">
        <v>307</v>
      </c>
      <c r="D61" s="34" t="s">
        <v>102</v>
      </c>
      <c r="E61" s="34" t="s">
        <v>335</v>
      </c>
      <c r="F61" s="34" t="s">
        <v>336</v>
      </c>
      <c r="G61" s="32" t="s">
        <v>128</v>
      </c>
      <c r="H61" s="35" t="n">
        <v>3</v>
      </c>
      <c r="I61" s="34" t="s">
        <v>329</v>
      </c>
      <c r="J61" s="36" t="n">
        <v>46307</v>
      </c>
      <c r="K61" s="36" t="n">
        <v>46318</v>
      </c>
      <c r="L61" s="28" t="s">
        <v>67</v>
      </c>
      <c r="M61" s="29" t="n">
        <v>0</v>
      </c>
      <c r="N61" s="37" t="n">
        <f aca="false">H61*M61</f>
        <v>0</v>
      </c>
      <c r="O61" s="33" t="s">
        <v>337</v>
      </c>
    </row>
    <row r="62" customFormat="false" ht="15" hidden="false" customHeight="false" outlineLevel="0" collapsed="false">
      <c r="A62" s="31" t="s">
        <v>338</v>
      </c>
      <c r="B62" s="32" t="s">
        <v>306</v>
      </c>
      <c r="C62" s="34" t="s">
        <v>307</v>
      </c>
      <c r="D62" s="33" t="s">
        <v>339</v>
      </c>
      <c r="E62" s="33" t="s">
        <v>340</v>
      </c>
      <c r="F62" s="33" t="s">
        <v>341</v>
      </c>
      <c r="G62" s="32" t="s">
        <v>133</v>
      </c>
      <c r="H62" s="35" t="n">
        <v>3</v>
      </c>
      <c r="I62" s="34" t="s">
        <v>273</v>
      </c>
      <c r="J62" s="36" t="n">
        <v>46307</v>
      </c>
      <c r="K62" s="36" t="n">
        <v>46318</v>
      </c>
      <c r="L62" s="28" t="s">
        <v>67</v>
      </c>
      <c r="M62" s="29" t="n">
        <v>0</v>
      </c>
      <c r="N62" s="37" t="n">
        <f aca="false">H62*M62</f>
        <v>0</v>
      </c>
      <c r="O62" s="33" t="s">
        <v>342</v>
      </c>
    </row>
    <row r="63" customFormat="false" ht="15" hidden="false" customHeight="false" outlineLevel="0" collapsed="false">
      <c r="A63" s="31" t="s">
        <v>343</v>
      </c>
      <c r="B63" s="32" t="s">
        <v>306</v>
      </c>
      <c r="C63" s="34" t="s">
        <v>307</v>
      </c>
      <c r="D63" s="33" t="s">
        <v>149</v>
      </c>
      <c r="E63" s="34" t="s">
        <v>344</v>
      </c>
      <c r="F63" s="33" t="s">
        <v>345</v>
      </c>
      <c r="G63" s="32" t="s">
        <v>152</v>
      </c>
      <c r="H63" s="35" t="n">
        <v>4</v>
      </c>
      <c r="I63" s="34" t="s">
        <v>334</v>
      </c>
      <c r="J63" s="36" t="n">
        <v>46307</v>
      </c>
      <c r="K63" s="36" t="n">
        <v>46318</v>
      </c>
      <c r="L63" s="28" t="s">
        <v>67</v>
      </c>
      <c r="M63" s="29" t="n">
        <v>0</v>
      </c>
      <c r="N63" s="37" t="n">
        <f aca="false">H63*M63</f>
        <v>0</v>
      </c>
      <c r="O63" s="33" t="s">
        <v>206</v>
      </c>
    </row>
    <row r="64" customFormat="false" ht="15" hidden="false" customHeight="false" outlineLevel="0" collapsed="false">
      <c r="A64" s="31" t="s">
        <v>346</v>
      </c>
      <c r="B64" s="32" t="s">
        <v>306</v>
      </c>
      <c r="C64" s="34" t="s">
        <v>307</v>
      </c>
      <c r="D64" s="33" t="s">
        <v>99</v>
      </c>
      <c r="E64" s="33" t="s">
        <v>347</v>
      </c>
      <c r="F64" s="33" t="s">
        <v>348</v>
      </c>
      <c r="G64" s="32" t="s">
        <v>102</v>
      </c>
      <c r="H64" s="35" t="n">
        <v>2</v>
      </c>
      <c r="I64" s="34"/>
      <c r="J64" s="36" t="n">
        <v>46307</v>
      </c>
      <c r="K64" s="36" t="n">
        <v>46318</v>
      </c>
      <c r="L64" s="28" t="s">
        <v>67</v>
      </c>
      <c r="M64" s="29" t="n">
        <v>0</v>
      </c>
      <c r="N64" s="37" t="n">
        <f aca="false">H64*M64</f>
        <v>0</v>
      </c>
      <c r="O64" s="33" t="s">
        <v>349</v>
      </c>
    </row>
    <row r="65" customFormat="false" ht="15" hidden="false" customHeight="false" outlineLevel="0" collapsed="false">
      <c r="A65" s="22" t="s">
        <v>350</v>
      </c>
      <c r="B65" s="23" t="s">
        <v>351</v>
      </c>
      <c r="C65" s="24" t="s">
        <v>352</v>
      </c>
      <c r="D65" s="24" t="s">
        <v>353</v>
      </c>
      <c r="E65" s="24" t="s">
        <v>354</v>
      </c>
      <c r="F65" s="24" t="s">
        <v>355</v>
      </c>
      <c r="G65" s="23" t="s">
        <v>80</v>
      </c>
      <c r="H65" s="26" t="n">
        <v>2.5</v>
      </c>
      <c r="I65" s="25" t="s">
        <v>104</v>
      </c>
      <c r="J65" s="27" t="n">
        <v>46321</v>
      </c>
      <c r="K65" s="27" t="n">
        <v>46332</v>
      </c>
      <c r="L65" s="28" t="s">
        <v>67</v>
      </c>
      <c r="M65" s="29" t="n">
        <v>0</v>
      </c>
      <c r="N65" s="30" t="n">
        <f aca="false">H65*M65</f>
        <v>0</v>
      </c>
      <c r="O65" s="25" t="s">
        <v>356</v>
      </c>
    </row>
    <row r="66" customFormat="false" ht="15" hidden="false" customHeight="false" outlineLevel="0" collapsed="false">
      <c r="A66" s="22" t="s">
        <v>357</v>
      </c>
      <c r="B66" s="23" t="s">
        <v>351</v>
      </c>
      <c r="C66" s="24" t="s">
        <v>352</v>
      </c>
      <c r="D66" s="24" t="s">
        <v>353</v>
      </c>
      <c r="E66" s="24" t="s">
        <v>358</v>
      </c>
      <c r="F66" s="24" t="s">
        <v>359</v>
      </c>
      <c r="G66" s="23" t="s">
        <v>128</v>
      </c>
      <c r="H66" s="26" t="n">
        <v>4</v>
      </c>
      <c r="I66" s="25" t="s">
        <v>360</v>
      </c>
      <c r="J66" s="27" t="n">
        <v>46321</v>
      </c>
      <c r="K66" s="27" t="n">
        <v>46332</v>
      </c>
      <c r="L66" s="28" t="s">
        <v>67</v>
      </c>
      <c r="M66" s="29" t="n">
        <v>0</v>
      </c>
      <c r="N66" s="30" t="n">
        <f aca="false">H66*M66</f>
        <v>0</v>
      </c>
      <c r="O66" s="24" t="s">
        <v>361</v>
      </c>
    </row>
    <row r="67" customFormat="false" ht="15" hidden="false" customHeight="false" outlineLevel="0" collapsed="false">
      <c r="A67" s="22" t="s">
        <v>362</v>
      </c>
      <c r="B67" s="23" t="s">
        <v>351</v>
      </c>
      <c r="C67" s="24" t="s">
        <v>352</v>
      </c>
      <c r="D67" s="24" t="s">
        <v>353</v>
      </c>
      <c r="E67" s="24" t="s">
        <v>363</v>
      </c>
      <c r="F67" s="24" t="s">
        <v>364</v>
      </c>
      <c r="G67" s="23" t="s">
        <v>123</v>
      </c>
      <c r="H67" s="26" t="n">
        <v>5</v>
      </c>
      <c r="I67" s="25" t="s">
        <v>357</v>
      </c>
      <c r="J67" s="27" t="n">
        <v>46321</v>
      </c>
      <c r="K67" s="27" t="n">
        <v>46332</v>
      </c>
      <c r="L67" s="28" t="s">
        <v>67</v>
      </c>
      <c r="M67" s="29" t="n">
        <v>0</v>
      </c>
      <c r="N67" s="30" t="n">
        <f aca="false">H67*M67</f>
        <v>0</v>
      </c>
      <c r="O67" s="24" t="s">
        <v>365</v>
      </c>
    </row>
    <row r="68" customFormat="false" ht="15" hidden="false" customHeight="false" outlineLevel="0" collapsed="false">
      <c r="A68" s="22" t="s">
        <v>366</v>
      </c>
      <c r="B68" s="23" t="s">
        <v>351</v>
      </c>
      <c r="C68" s="24" t="s">
        <v>352</v>
      </c>
      <c r="D68" s="24" t="s">
        <v>353</v>
      </c>
      <c r="E68" s="24" t="s">
        <v>367</v>
      </c>
      <c r="F68" s="24" t="s">
        <v>368</v>
      </c>
      <c r="G68" s="23" t="s">
        <v>123</v>
      </c>
      <c r="H68" s="26" t="n">
        <v>3</v>
      </c>
      <c r="I68" s="25" t="s">
        <v>357</v>
      </c>
      <c r="J68" s="27" t="n">
        <v>46321</v>
      </c>
      <c r="K68" s="27" t="n">
        <v>46332</v>
      </c>
      <c r="L68" s="28" t="s">
        <v>67</v>
      </c>
      <c r="M68" s="29" t="n">
        <v>0</v>
      </c>
      <c r="N68" s="30" t="n">
        <f aca="false">H68*M68</f>
        <v>0</v>
      </c>
      <c r="O68" s="25" t="s">
        <v>369</v>
      </c>
    </row>
    <row r="69" customFormat="false" ht="15" hidden="false" customHeight="false" outlineLevel="0" collapsed="false">
      <c r="A69" s="22" t="s">
        <v>370</v>
      </c>
      <c r="B69" s="23" t="s">
        <v>351</v>
      </c>
      <c r="C69" s="24" t="s">
        <v>352</v>
      </c>
      <c r="D69" s="24" t="s">
        <v>353</v>
      </c>
      <c r="E69" s="24" t="s">
        <v>371</v>
      </c>
      <c r="F69" s="24" t="s">
        <v>372</v>
      </c>
      <c r="G69" s="23" t="s">
        <v>138</v>
      </c>
      <c r="H69" s="26" t="n">
        <v>5</v>
      </c>
      <c r="I69" s="25" t="s">
        <v>373</v>
      </c>
      <c r="J69" s="27" t="n">
        <v>46321</v>
      </c>
      <c r="K69" s="27" t="n">
        <v>46332</v>
      </c>
      <c r="L69" s="28" t="s">
        <v>67</v>
      </c>
      <c r="M69" s="29" t="n">
        <v>0</v>
      </c>
      <c r="N69" s="30" t="n">
        <f aca="false">H69*M69</f>
        <v>0</v>
      </c>
      <c r="O69" s="24" t="s">
        <v>374</v>
      </c>
    </row>
    <row r="70" customFormat="false" ht="15" hidden="false" customHeight="false" outlineLevel="0" collapsed="false">
      <c r="A70" s="22" t="s">
        <v>375</v>
      </c>
      <c r="B70" s="23" t="s">
        <v>351</v>
      </c>
      <c r="C70" s="24" t="s">
        <v>352</v>
      </c>
      <c r="D70" s="24" t="s">
        <v>353</v>
      </c>
      <c r="E70" s="24" t="s">
        <v>376</v>
      </c>
      <c r="F70" s="25" t="s">
        <v>377</v>
      </c>
      <c r="G70" s="23" t="s">
        <v>133</v>
      </c>
      <c r="H70" s="26" t="n">
        <v>4</v>
      </c>
      <c r="I70" s="25" t="s">
        <v>370</v>
      </c>
      <c r="J70" s="27" t="n">
        <v>46321</v>
      </c>
      <c r="K70" s="27" t="n">
        <v>46332</v>
      </c>
      <c r="L70" s="28" t="s">
        <v>67</v>
      </c>
      <c r="M70" s="29" t="n">
        <v>0</v>
      </c>
      <c r="N70" s="30" t="n">
        <f aca="false">H70*M70</f>
        <v>0</v>
      </c>
      <c r="O70" s="24" t="s">
        <v>378</v>
      </c>
    </row>
    <row r="71" customFormat="false" ht="15" hidden="false" customHeight="false" outlineLevel="0" collapsed="false">
      <c r="A71" s="22" t="s">
        <v>379</v>
      </c>
      <c r="B71" s="23" t="s">
        <v>351</v>
      </c>
      <c r="C71" s="24" t="s">
        <v>352</v>
      </c>
      <c r="D71" s="24" t="s">
        <v>353</v>
      </c>
      <c r="E71" s="24" t="s">
        <v>380</v>
      </c>
      <c r="F71" s="25" t="s">
        <v>381</v>
      </c>
      <c r="G71" s="23" t="s">
        <v>128</v>
      </c>
      <c r="H71" s="26" t="n">
        <v>4</v>
      </c>
      <c r="I71" s="25" t="s">
        <v>382</v>
      </c>
      <c r="J71" s="27" t="n">
        <v>46321</v>
      </c>
      <c r="K71" s="27" t="n">
        <v>46332</v>
      </c>
      <c r="L71" s="28" t="s">
        <v>67</v>
      </c>
      <c r="M71" s="29" t="n">
        <v>0</v>
      </c>
      <c r="N71" s="30" t="n">
        <f aca="false">H71*M71</f>
        <v>0</v>
      </c>
      <c r="O71" s="24" t="s">
        <v>383</v>
      </c>
    </row>
    <row r="72" customFormat="false" ht="15" hidden="false" customHeight="false" outlineLevel="0" collapsed="false">
      <c r="A72" s="22" t="s">
        <v>384</v>
      </c>
      <c r="B72" s="23" t="s">
        <v>351</v>
      </c>
      <c r="C72" s="24" t="s">
        <v>352</v>
      </c>
      <c r="D72" s="24" t="s">
        <v>353</v>
      </c>
      <c r="E72" s="24" t="s">
        <v>385</v>
      </c>
      <c r="F72" s="25" t="s">
        <v>386</v>
      </c>
      <c r="G72" s="23" t="s">
        <v>133</v>
      </c>
      <c r="H72" s="26" t="n">
        <v>4</v>
      </c>
      <c r="I72" s="25" t="s">
        <v>370</v>
      </c>
      <c r="J72" s="27" t="n">
        <v>46321</v>
      </c>
      <c r="K72" s="27" t="n">
        <v>46332</v>
      </c>
      <c r="L72" s="28" t="s">
        <v>67</v>
      </c>
      <c r="M72" s="29" t="n">
        <v>0</v>
      </c>
      <c r="N72" s="30" t="n">
        <f aca="false">H72*M72</f>
        <v>0</v>
      </c>
      <c r="O72" s="24" t="s">
        <v>387</v>
      </c>
    </row>
    <row r="73" customFormat="false" ht="15" hidden="false" customHeight="false" outlineLevel="0" collapsed="false">
      <c r="A73" s="22" t="s">
        <v>388</v>
      </c>
      <c r="B73" s="23" t="s">
        <v>351</v>
      </c>
      <c r="C73" s="24" t="s">
        <v>352</v>
      </c>
      <c r="D73" s="24" t="s">
        <v>353</v>
      </c>
      <c r="E73" s="24" t="s">
        <v>389</v>
      </c>
      <c r="F73" s="25" t="s">
        <v>390</v>
      </c>
      <c r="G73" s="23" t="s">
        <v>138</v>
      </c>
      <c r="H73" s="26" t="n">
        <v>3</v>
      </c>
      <c r="I73" s="25" t="s">
        <v>370</v>
      </c>
      <c r="J73" s="27" t="n">
        <v>46321</v>
      </c>
      <c r="K73" s="27" t="n">
        <v>46332</v>
      </c>
      <c r="L73" s="28" t="s">
        <v>67</v>
      </c>
      <c r="M73" s="29" t="n">
        <v>0</v>
      </c>
      <c r="N73" s="30" t="n">
        <f aca="false">H73*M73</f>
        <v>0</v>
      </c>
      <c r="O73" s="24" t="s">
        <v>391</v>
      </c>
    </row>
    <row r="74" customFormat="false" ht="15" hidden="false" customHeight="false" outlineLevel="0" collapsed="false">
      <c r="A74" s="22" t="s">
        <v>392</v>
      </c>
      <c r="B74" s="23" t="s">
        <v>351</v>
      </c>
      <c r="C74" s="24" t="s">
        <v>352</v>
      </c>
      <c r="D74" s="24" t="s">
        <v>149</v>
      </c>
      <c r="E74" s="24" t="s">
        <v>393</v>
      </c>
      <c r="F74" s="25" t="s">
        <v>394</v>
      </c>
      <c r="G74" s="23" t="s">
        <v>152</v>
      </c>
      <c r="H74" s="26" t="n">
        <v>5</v>
      </c>
      <c r="I74" s="25" t="s">
        <v>384</v>
      </c>
      <c r="J74" s="27" t="n">
        <v>46321</v>
      </c>
      <c r="K74" s="27" t="n">
        <v>46332</v>
      </c>
      <c r="L74" s="28" t="s">
        <v>67</v>
      </c>
      <c r="M74" s="29" t="n">
        <v>0</v>
      </c>
      <c r="N74" s="30" t="n">
        <f aca="false">H74*M74</f>
        <v>0</v>
      </c>
      <c r="O74" s="24" t="s">
        <v>395</v>
      </c>
    </row>
    <row r="75" customFormat="false" ht="15" hidden="false" customHeight="false" outlineLevel="0" collapsed="false">
      <c r="A75" s="31" t="s">
        <v>396</v>
      </c>
      <c r="B75" s="32" t="s">
        <v>397</v>
      </c>
      <c r="C75" s="34" t="s">
        <v>398</v>
      </c>
      <c r="D75" s="34" t="s">
        <v>399</v>
      </c>
      <c r="E75" s="33" t="s">
        <v>400</v>
      </c>
      <c r="F75" s="33" t="s">
        <v>401</v>
      </c>
      <c r="G75" s="32" t="s">
        <v>80</v>
      </c>
      <c r="H75" s="35" t="n">
        <v>2.5</v>
      </c>
      <c r="I75" s="34" t="s">
        <v>104</v>
      </c>
      <c r="J75" s="36" t="n">
        <v>46335</v>
      </c>
      <c r="K75" s="36" t="n">
        <v>46346</v>
      </c>
      <c r="L75" s="28" t="s">
        <v>67</v>
      </c>
      <c r="M75" s="29" t="n">
        <v>0</v>
      </c>
      <c r="N75" s="37" t="n">
        <f aca="false">H75*M75</f>
        <v>0</v>
      </c>
      <c r="O75" s="34" t="s">
        <v>402</v>
      </c>
    </row>
    <row r="76" customFormat="false" ht="15" hidden="false" customHeight="false" outlineLevel="0" collapsed="false">
      <c r="A76" s="31" t="s">
        <v>403</v>
      </c>
      <c r="B76" s="32" t="s">
        <v>397</v>
      </c>
      <c r="C76" s="34" t="s">
        <v>398</v>
      </c>
      <c r="D76" s="34" t="s">
        <v>399</v>
      </c>
      <c r="E76" s="33" t="s">
        <v>404</v>
      </c>
      <c r="F76" s="33" t="s">
        <v>405</v>
      </c>
      <c r="G76" s="32" t="s">
        <v>128</v>
      </c>
      <c r="H76" s="35" t="n">
        <v>4</v>
      </c>
      <c r="I76" s="34" t="s">
        <v>406</v>
      </c>
      <c r="J76" s="36" t="n">
        <v>46335</v>
      </c>
      <c r="K76" s="36" t="n">
        <v>46346</v>
      </c>
      <c r="L76" s="28" t="s">
        <v>67</v>
      </c>
      <c r="M76" s="29" t="n">
        <v>0</v>
      </c>
      <c r="N76" s="37" t="n">
        <f aca="false">H76*M76</f>
        <v>0</v>
      </c>
      <c r="O76" s="33" t="s">
        <v>407</v>
      </c>
    </row>
    <row r="77" customFormat="false" ht="15" hidden="false" customHeight="false" outlineLevel="0" collapsed="false">
      <c r="A77" s="31" t="s">
        <v>408</v>
      </c>
      <c r="B77" s="32" t="s">
        <v>397</v>
      </c>
      <c r="C77" s="34" t="s">
        <v>398</v>
      </c>
      <c r="D77" s="34" t="s">
        <v>399</v>
      </c>
      <c r="E77" s="33" t="s">
        <v>409</v>
      </c>
      <c r="F77" s="34" t="s">
        <v>410</v>
      </c>
      <c r="G77" s="32" t="s">
        <v>133</v>
      </c>
      <c r="H77" s="35" t="n">
        <v>4</v>
      </c>
      <c r="I77" s="34" t="s">
        <v>411</v>
      </c>
      <c r="J77" s="36" t="n">
        <v>46335</v>
      </c>
      <c r="K77" s="36" t="n">
        <v>46346</v>
      </c>
      <c r="L77" s="28" t="s">
        <v>67</v>
      </c>
      <c r="M77" s="29" t="n">
        <v>0</v>
      </c>
      <c r="N77" s="37" t="n">
        <f aca="false">H77*M77</f>
        <v>0</v>
      </c>
      <c r="O77" s="34" t="s">
        <v>412</v>
      </c>
    </row>
    <row r="78" customFormat="false" ht="26.85" hidden="false" customHeight="false" outlineLevel="0" collapsed="false">
      <c r="A78" s="31" t="s">
        <v>413</v>
      </c>
      <c r="B78" s="32" t="s">
        <v>397</v>
      </c>
      <c r="C78" s="34" t="s">
        <v>398</v>
      </c>
      <c r="D78" s="34" t="s">
        <v>399</v>
      </c>
      <c r="E78" s="33" t="s">
        <v>414</v>
      </c>
      <c r="F78" s="34" t="s">
        <v>415</v>
      </c>
      <c r="G78" s="32" t="s">
        <v>123</v>
      </c>
      <c r="H78" s="35" t="n">
        <v>6</v>
      </c>
      <c r="I78" s="34" t="s">
        <v>408</v>
      </c>
      <c r="J78" s="36" t="n">
        <v>46335</v>
      </c>
      <c r="K78" s="36" t="n">
        <v>46346</v>
      </c>
      <c r="L78" s="28" t="s">
        <v>67</v>
      </c>
      <c r="M78" s="29" t="n">
        <v>0</v>
      </c>
      <c r="N78" s="37" t="n">
        <f aca="false">H78*M78</f>
        <v>0</v>
      </c>
      <c r="O78" s="33" t="s">
        <v>416</v>
      </c>
    </row>
    <row r="79" customFormat="false" ht="15" hidden="false" customHeight="false" outlineLevel="0" collapsed="false">
      <c r="A79" s="31" t="s">
        <v>417</v>
      </c>
      <c r="B79" s="32" t="s">
        <v>397</v>
      </c>
      <c r="C79" s="34" t="s">
        <v>398</v>
      </c>
      <c r="D79" s="34" t="s">
        <v>399</v>
      </c>
      <c r="E79" s="33" t="s">
        <v>418</v>
      </c>
      <c r="F79" s="34" t="s">
        <v>419</v>
      </c>
      <c r="G79" s="32" t="s">
        <v>133</v>
      </c>
      <c r="H79" s="35" t="n">
        <v>3</v>
      </c>
      <c r="I79" s="34" t="s">
        <v>420</v>
      </c>
      <c r="J79" s="36" t="n">
        <v>46335</v>
      </c>
      <c r="K79" s="36" t="n">
        <v>46346</v>
      </c>
      <c r="L79" s="28" t="s">
        <v>67</v>
      </c>
      <c r="M79" s="29" t="n">
        <v>0</v>
      </c>
      <c r="N79" s="37" t="n">
        <f aca="false">H79*M79</f>
        <v>0</v>
      </c>
      <c r="O79" s="33" t="s">
        <v>421</v>
      </c>
    </row>
    <row r="80" customFormat="false" ht="15" hidden="false" customHeight="false" outlineLevel="0" collapsed="false">
      <c r="A80" s="31" t="s">
        <v>422</v>
      </c>
      <c r="B80" s="32" t="s">
        <v>397</v>
      </c>
      <c r="C80" s="34" t="s">
        <v>398</v>
      </c>
      <c r="D80" s="34" t="s">
        <v>399</v>
      </c>
      <c r="E80" s="33" t="s">
        <v>423</v>
      </c>
      <c r="F80" s="34" t="s">
        <v>424</v>
      </c>
      <c r="G80" s="32" t="s">
        <v>138</v>
      </c>
      <c r="H80" s="35" t="n">
        <v>3</v>
      </c>
      <c r="I80" s="34" t="s">
        <v>417</v>
      </c>
      <c r="J80" s="36" t="n">
        <v>46335</v>
      </c>
      <c r="K80" s="36" t="n">
        <v>46346</v>
      </c>
      <c r="L80" s="28" t="s">
        <v>67</v>
      </c>
      <c r="M80" s="29" t="n">
        <v>0</v>
      </c>
      <c r="N80" s="37" t="n">
        <f aca="false">H80*M80</f>
        <v>0</v>
      </c>
      <c r="O80" s="33" t="s">
        <v>425</v>
      </c>
    </row>
    <row r="81" customFormat="false" ht="26.85" hidden="false" customHeight="false" outlineLevel="0" collapsed="false">
      <c r="A81" s="31" t="s">
        <v>426</v>
      </c>
      <c r="B81" s="32" t="s">
        <v>397</v>
      </c>
      <c r="C81" s="34" t="s">
        <v>398</v>
      </c>
      <c r="D81" s="34" t="s">
        <v>399</v>
      </c>
      <c r="E81" s="34" t="s">
        <v>427</v>
      </c>
      <c r="F81" s="33" t="s">
        <v>428</v>
      </c>
      <c r="G81" s="32" t="s">
        <v>123</v>
      </c>
      <c r="H81" s="35" t="n">
        <v>3</v>
      </c>
      <c r="I81" s="34" t="s">
        <v>413</v>
      </c>
      <c r="J81" s="36" t="n">
        <v>46335</v>
      </c>
      <c r="K81" s="36" t="n">
        <v>46346</v>
      </c>
      <c r="L81" s="28" t="s">
        <v>67</v>
      </c>
      <c r="M81" s="29" t="n">
        <v>0</v>
      </c>
      <c r="N81" s="37" t="n">
        <f aca="false">H81*M81</f>
        <v>0</v>
      </c>
      <c r="O81" s="33" t="s">
        <v>429</v>
      </c>
    </row>
    <row r="82" customFormat="false" ht="15" hidden="false" customHeight="false" outlineLevel="0" collapsed="false">
      <c r="A82" s="31" t="s">
        <v>430</v>
      </c>
      <c r="B82" s="32" t="s">
        <v>397</v>
      </c>
      <c r="C82" s="34" t="s">
        <v>398</v>
      </c>
      <c r="D82" s="33" t="s">
        <v>431</v>
      </c>
      <c r="E82" s="33" t="s">
        <v>432</v>
      </c>
      <c r="F82" s="33" t="s">
        <v>433</v>
      </c>
      <c r="G82" s="32" t="s">
        <v>138</v>
      </c>
      <c r="H82" s="35" t="n">
        <v>5</v>
      </c>
      <c r="I82" s="34" t="s">
        <v>434</v>
      </c>
      <c r="J82" s="36" t="n">
        <v>46335</v>
      </c>
      <c r="K82" s="36" t="n">
        <v>46346</v>
      </c>
      <c r="L82" s="28" t="s">
        <v>67</v>
      </c>
      <c r="M82" s="29" t="n">
        <v>0</v>
      </c>
      <c r="N82" s="37" t="n">
        <f aca="false">H82*M82</f>
        <v>0</v>
      </c>
      <c r="O82" s="33" t="s">
        <v>435</v>
      </c>
    </row>
    <row r="83" customFormat="false" ht="26.85" hidden="false" customHeight="false" outlineLevel="0" collapsed="false">
      <c r="A83" s="31" t="s">
        <v>436</v>
      </c>
      <c r="B83" s="32" t="s">
        <v>397</v>
      </c>
      <c r="C83" s="34" t="s">
        <v>398</v>
      </c>
      <c r="D83" s="33" t="s">
        <v>431</v>
      </c>
      <c r="E83" s="34" t="s">
        <v>437</v>
      </c>
      <c r="F83" s="34" t="s">
        <v>438</v>
      </c>
      <c r="G83" s="32" t="s">
        <v>128</v>
      </c>
      <c r="H83" s="35" t="n">
        <v>4</v>
      </c>
      <c r="I83" s="34" t="s">
        <v>430</v>
      </c>
      <c r="J83" s="36" t="n">
        <v>46335</v>
      </c>
      <c r="K83" s="36" t="n">
        <v>46346</v>
      </c>
      <c r="L83" s="28" t="s">
        <v>67</v>
      </c>
      <c r="M83" s="29" t="n">
        <v>0</v>
      </c>
      <c r="N83" s="37" t="n">
        <f aca="false">H83*M83</f>
        <v>0</v>
      </c>
      <c r="O83" s="33" t="s">
        <v>439</v>
      </c>
    </row>
    <row r="84" customFormat="false" ht="15" hidden="false" customHeight="false" outlineLevel="0" collapsed="false">
      <c r="A84" s="31" t="s">
        <v>440</v>
      </c>
      <c r="B84" s="32" t="s">
        <v>397</v>
      </c>
      <c r="C84" s="34" t="s">
        <v>398</v>
      </c>
      <c r="D84" s="33" t="s">
        <v>431</v>
      </c>
      <c r="E84" s="33" t="s">
        <v>441</v>
      </c>
      <c r="F84" s="34" t="s">
        <v>442</v>
      </c>
      <c r="G84" s="32" t="s">
        <v>133</v>
      </c>
      <c r="H84" s="35" t="n">
        <v>3</v>
      </c>
      <c r="I84" s="34" t="s">
        <v>436</v>
      </c>
      <c r="J84" s="36" t="n">
        <v>46335</v>
      </c>
      <c r="K84" s="36" t="n">
        <v>46346</v>
      </c>
      <c r="L84" s="28" t="s">
        <v>67</v>
      </c>
      <c r="M84" s="29" t="n">
        <v>0</v>
      </c>
      <c r="N84" s="37" t="n">
        <f aca="false">H84*M84</f>
        <v>0</v>
      </c>
      <c r="O84" s="34" t="s">
        <v>443</v>
      </c>
    </row>
    <row r="85" customFormat="false" ht="15" hidden="false" customHeight="false" outlineLevel="0" collapsed="false">
      <c r="A85" s="31" t="s">
        <v>444</v>
      </c>
      <c r="B85" s="32" t="s">
        <v>397</v>
      </c>
      <c r="C85" s="34" t="s">
        <v>398</v>
      </c>
      <c r="D85" s="34" t="s">
        <v>399</v>
      </c>
      <c r="E85" s="34" t="s">
        <v>445</v>
      </c>
      <c r="F85" s="33" t="s">
        <v>446</v>
      </c>
      <c r="G85" s="32" t="s">
        <v>80</v>
      </c>
      <c r="H85" s="35" t="n">
        <v>2.5</v>
      </c>
      <c r="I85" s="34" t="s">
        <v>396</v>
      </c>
      <c r="J85" s="36" t="n">
        <v>46335</v>
      </c>
      <c r="K85" s="36" t="n">
        <v>46346</v>
      </c>
      <c r="L85" s="28" t="s">
        <v>67</v>
      </c>
      <c r="M85" s="29" t="n">
        <v>0</v>
      </c>
      <c r="N85" s="37" t="n">
        <f aca="false">H85*M85</f>
        <v>0</v>
      </c>
      <c r="O85" s="33" t="s">
        <v>447</v>
      </c>
    </row>
    <row r="86" customFormat="false" ht="15" hidden="false" customHeight="false" outlineLevel="0" collapsed="false">
      <c r="A86" s="31" t="s">
        <v>448</v>
      </c>
      <c r="B86" s="32" t="s">
        <v>397</v>
      </c>
      <c r="C86" s="34" t="s">
        <v>398</v>
      </c>
      <c r="D86" s="33" t="s">
        <v>149</v>
      </c>
      <c r="E86" s="34" t="s">
        <v>449</v>
      </c>
      <c r="F86" s="33" t="s">
        <v>450</v>
      </c>
      <c r="G86" s="32" t="s">
        <v>152</v>
      </c>
      <c r="H86" s="35" t="n">
        <v>4</v>
      </c>
      <c r="I86" s="34" t="s">
        <v>440</v>
      </c>
      <c r="J86" s="36" t="n">
        <v>46335</v>
      </c>
      <c r="K86" s="36" t="n">
        <v>46346</v>
      </c>
      <c r="L86" s="28" t="s">
        <v>67</v>
      </c>
      <c r="M86" s="29" t="n">
        <v>0</v>
      </c>
      <c r="N86" s="37" t="n">
        <f aca="false">H86*M86</f>
        <v>0</v>
      </c>
      <c r="O86" s="33" t="s">
        <v>451</v>
      </c>
    </row>
    <row r="87" customFormat="false" ht="26.85" hidden="false" customHeight="false" outlineLevel="0" collapsed="false">
      <c r="A87" s="22" t="s">
        <v>452</v>
      </c>
      <c r="B87" s="23" t="s">
        <v>453</v>
      </c>
      <c r="C87" s="24" t="s">
        <v>454</v>
      </c>
      <c r="D87" s="24" t="s">
        <v>455</v>
      </c>
      <c r="E87" s="24" t="s">
        <v>456</v>
      </c>
      <c r="F87" s="25" t="s">
        <v>457</v>
      </c>
      <c r="G87" s="23" t="s">
        <v>43</v>
      </c>
      <c r="H87" s="26" t="n">
        <v>5</v>
      </c>
      <c r="I87" s="25" t="s">
        <v>448</v>
      </c>
      <c r="J87" s="27" t="n">
        <v>46349</v>
      </c>
      <c r="K87" s="27" t="n">
        <v>46360</v>
      </c>
      <c r="L87" s="28" t="s">
        <v>67</v>
      </c>
      <c r="M87" s="29" t="n">
        <v>0</v>
      </c>
      <c r="N87" s="30" t="n">
        <f aca="false">H87*M87</f>
        <v>0</v>
      </c>
      <c r="O87" s="24" t="s">
        <v>458</v>
      </c>
    </row>
    <row r="88" customFormat="false" ht="15" hidden="false" customHeight="false" outlineLevel="0" collapsed="false">
      <c r="A88" s="22" t="s">
        <v>459</v>
      </c>
      <c r="B88" s="23" t="s">
        <v>453</v>
      </c>
      <c r="C88" s="24" t="s">
        <v>454</v>
      </c>
      <c r="D88" s="24" t="s">
        <v>455</v>
      </c>
      <c r="E88" s="24" t="s">
        <v>460</v>
      </c>
      <c r="F88" s="24" t="s">
        <v>461</v>
      </c>
      <c r="G88" s="23" t="s">
        <v>66</v>
      </c>
      <c r="H88" s="26" t="n">
        <v>3</v>
      </c>
      <c r="I88" s="25" t="s">
        <v>452</v>
      </c>
      <c r="J88" s="27" t="n">
        <v>46349</v>
      </c>
      <c r="K88" s="27" t="n">
        <v>46360</v>
      </c>
      <c r="L88" s="28" t="s">
        <v>67</v>
      </c>
      <c r="M88" s="29" t="n">
        <v>0</v>
      </c>
      <c r="N88" s="30" t="n">
        <f aca="false">H88*M88</f>
        <v>0</v>
      </c>
      <c r="O88" s="24" t="s">
        <v>462</v>
      </c>
    </row>
    <row r="89" customFormat="false" ht="15" hidden="false" customHeight="false" outlineLevel="0" collapsed="false">
      <c r="A89" s="22" t="s">
        <v>463</v>
      </c>
      <c r="B89" s="23" t="s">
        <v>453</v>
      </c>
      <c r="C89" s="24" t="s">
        <v>454</v>
      </c>
      <c r="D89" s="24" t="s">
        <v>464</v>
      </c>
      <c r="E89" s="24" t="s">
        <v>465</v>
      </c>
      <c r="F89" s="25" t="s">
        <v>466</v>
      </c>
      <c r="G89" s="23" t="s">
        <v>152</v>
      </c>
      <c r="H89" s="26" t="n">
        <v>5</v>
      </c>
      <c r="I89" s="25" t="s">
        <v>448</v>
      </c>
      <c r="J89" s="27" t="n">
        <v>46349</v>
      </c>
      <c r="K89" s="27" t="n">
        <v>46360</v>
      </c>
      <c r="L89" s="28" t="s">
        <v>67</v>
      </c>
      <c r="M89" s="29" t="n">
        <v>0</v>
      </c>
      <c r="N89" s="30" t="n">
        <f aca="false">H89*M89</f>
        <v>0</v>
      </c>
      <c r="O89" s="24" t="s">
        <v>467</v>
      </c>
    </row>
    <row r="90" customFormat="false" ht="15" hidden="false" customHeight="false" outlineLevel="0" collapsed="false">
      <c r="A90" s="22" t="s">
        <v>468</v>
      </c>
      <c r="B90" s="23" t="s">
        <v>453</v>
      </c>
      <c r="C90" s="24" t="s">
        <v>454</v>
      </c>
      <c r="D90" s="24" t="s">
        <v>464</v>
      </c>
      <c r="E90" s="24" t="s">
        <v>469</v>
      </c>
      <c r="F90" s="25" t="s">
        <v>470</v>
      </c>
      <c r="G90" s="23" t="s">
        <v>128</v>
      </c>
      <c r="H90" s="26" t="n">
        <v>3</v>
      </c>
      <c r="I90" s="25" t="s">
        <v>452</v>
      </c>
      <c r="J90" s="27" t="n">
        <v>46349</v>
      </c>
      <c r="K90" s="27" t="n">
        <v>46360</v>
      </c>
      <c r="L90" s="28" t="s">
        <v>67</v>
      </c>
      <c r="M90" s="29" t="n">
        <v>0</v>
      </c>
      <c r="N90" s="30" t="n">
        <f aca="false">H90*M90</f>
        <v>0</v>
      </c>
      <c r="O90" s="24" t="s">
        <v>471</v>
      </c>
    </row>
    <row r="91" customFormat="false" ht="15" hidden="false" customHeight="false" outlineLevel="0" collapsed="false">
      <c r="A91" s="22" t="s">
        <v>472</v>
      </c>
      <c r="B91" s="23" t="s">
        <v>453</v>
      </c>
      <c r="C91" s="24" t="s">
        <v>454</v>
      </c>
      <c r="D91" s="24" t="s">
        <v>473</v>
      </c>
      <c r="E91" s="24" t="s">
        <v>474</v>
      </c>
      <c r="F91" s="25" t="s">
        <v>475</v>
      </c>
      <c r="G91" s="23" t="s">
        <v>66</v>
      </c>
      <c r="H91" s="26" t="n">
        <v>3</v>
      </c>
      <c r="I91" s="25" t="s">
        <v>73</v>
      </c>
      <c r="J91" s="27" t="n">
        <v>46349</v>
      </c>
      <c r="K91" s="27" t="n">
        <v>46360</v>
      </c>
      <c r="L91" s="28" t="s">
        <v>67</v>
      </c>
      <c r="M91" s="29" t="n">
        <v>0</v>
      </c>
      <c r="N91" s="30" t="n">
        <f aca="false">H91*M91</f>
        <v>0</v>
      </c>
      <c r="O91" s="25" t="s">
        <v>476</v>
      </c>
    </row>
    <row r="92" customFormat="false" ht="15" hidden="false" customHeight="false" outlineLevel="0" collapsed="false">
      <c r="A92" s="22" t="s">
        <v>477</v>
      </c>
      <c r="B92" s="23" t="s">
        <v>453</v>
      </c>
      <c r="C92" s="24" t="s">
        <v>454</v>
      </c>
      <c r="D92" s="24" t="s">
        <v>478</v>
      </c>
      <c r="E92" s="25" t="s">
        <v>479</v>
      </c>
      <c r="F92" s="24" t="s">
        <v>480</v>
      </c>
      <c r="G92" s="23" t="s">
        <v>43</v>
      </c>
      <c r="H92" s="26" t="n">
        <v>4</v>
      </c>
      <c r="I92" s="25" t="s">
        <v>448</v>
      </c>
      <c r="J92" s="27" t="n">
        <v>46349</v>
      </c>
      <c r="K92" s="27" t="n">
        <v>46360</v>
      </c>
      <c r="L92" s="28" t="s">
        <v>67</v>
      </c>
      <c r="M92" s="29" t="n">
        <v>0</v>
      </c>
      <c r="N92" s="30" t="n">
        <f aca="false">H92*M92</f>
        <v>0</v>
      </c>
      <c r="O92" s="25" t="s">
        <v>481</v>
      </c>
    </row>
    <row r="93" customFormat="false" ht="15" hidden="false" customHeight="false" outlineLevel="0" collapsed="false">
      <c r="A93" s="22" t="s">
        <v>482</v>
      </c>
      <c r="B93" s="23" t="s">
        <v>453</v>
      </c>
      <c r="C93" s="24" t="s">
        <v>454</v>
      </c>
      <c r="D93" s="24" t="s">
        <v>483</v>
      </c>
      <c r="E93" s="24" t="s">
        <v>484</v>
      </c>
      <c r="F93" s="24" t="s">
        <v>485</v>
      </c>
      <c r="G93" s="23" t="s">
        <v>43</v>
      </c>
      <c r="H93" s="26" t="n">
        <v>2</v>
      </c>
      <c r="I93" s="25" t="s">
        <v>477</v>
      </c>
      <c r="J93" s="27" t="n">
        <v>46349</v>
      </c>
      <c r="K93" s="27" t="n">
        <v>46360</v>
      </c>
      <c r="L93" s="28" t="s">
        <v>67</v>
      </c>
      <c r="M93" s="29" t="n">
        <v>0</v>
      </c>
      <c r="N93" s="30" t="n">
        <f aca="false">H93*M93</f>
        <v>0</v>
      </c>
      <c r="O93" s="24" t="s">
        <v>486</v>
      </c>
    </row>
    <row r="94" customFormat="false" ht="15" hidden="false" customHeight="false" outlineLevel="0" collapsed="false">
      <c r="A94" s="22" t="s">
        <v>487</v>
      </c>
      <c r="B94" s="23" t="s">
        <v>453</v>
      </c>
      <c r="C94" s="24" t="s">
        <v>454</v>
      </c>
      <c r="D94" s="24" t="s">
        <v>483</v>
      </c>
      <c r="E94" s="24" t="s">
        <v>488</v>
      </c>
      <c r="F94" s="24" t="s">
        <v>489</v>
      </c>
      <c r="G94" s="23" t="s">
        <v>66</v>
      </c>
      <c r="H94" s="26" t="n">
        <v>2.5</v>
      </c>
      <c r="I94" s="25" t="s">
        <v>477</v>
      </c>
      <c r="J94" s="27" t="n">
        <v>46349</v>
      </c>
      <c r="K94" s="27" t="n">
        <v>46360</v>
      </c>
      <c r="L94" s="28" t="s">
        <v>67</v>
      </c>
      <c r="M94" s="29" t="n">
        <v>0</v>
      </c>
      <c r="N94" s="30" t="n">
        <f aca="false">H94*M94</f>
        <v>0</v>
      </c>
      <c r="O94" s="24" t="s">
        <v>490</v>
      </c>
    </row>
    <row r="95" customFormat="false" ht="15" hidden="false" customHeight="false" outlineLevel="0" collapsed="false">
      <c r="A95" s="22" t="s">
        <v>491</v>
      </c>
      <c r="B95" s="23" t="s">
        <v>453</v>
      </c>
      <c r="C95" s="24" t="s">
        <v>454</v>
      </c>
      <c r="D95" s="25" t="s">
        <v>492</v>
      </c>
      <c r="E95" s="24" t="s">
        <v>493</v>
      </c>
      <c r="F95" s="24" t="s">
        <v>494</v>
      </c>
      <c r="G95" s="23" t="s">
        <v>123</v>
      </c>
      <c r="H95" s="26" t="n">
        <v>5</v>
      </c>
      <c r="I95" s="25" t="s">
        <v>477</v>
      </c>
      <c r="J95" s="27" t="n">
        <v>46349</v>
      </c>
      <c r="K95" s="27" t="n">
        <v>46360</v>
      </c>
      <c r="L95" s="28" t="s">
        <v>67</v>
      </c>
      <c r="M95" s="29" t="n">
        <v>0</v>
      </c>
      <c r="N95" s="30" t="n">
        <f aca="false">H95*M95</f>
        <v>0</v>
      </c>
      <c r="O95" s="25" t="s">
        <v>495</v>
      </c>
    </row>
    <row r="96" customFormat="false" ht="15" hidden="false" customHeight="false" outlineLevel="0" collapsed="false">
      <c r="A96" s="22" t="s">
        <v>496</v>
      </c>
      <c r="B96" s="23" t="s">
        <v>453</v>
      </c>
      <c r="C96" s="24" t="s">
        <v>454</v>
      </c>
      <c r="D96" s="25" t="s">
        <v>492</v>
      </c>
      <c r="E96" s="25" t="s">
        <v>497</v>
      </c>
      <c r="F96" s="24" t="s">
        <v>498</v>
      </c>
      <c r="G96" s="23" t="s">
        <v>138</v>
      </c>
      <c r="H96" s="26" t="n">
        <v>4</v>
      </c>
      <c r="I96" s="25" t="s">
        <v>203</v>
      </c>
      <c r="J96" s="27" t="n">
        <v>46349</v>
      </c>
      <c r="K96" s="27" t="n">
        <v>46360</v>
      </c>
      <c r="L96" s="28" t="s">
        <v>67</v>
      </c>
      <c r="M96" s="29" t="n">
        <v>0</v>
      </c>
      <c r="N96" s="30" t="n">
        <f aca="false">H96*M96</f>
        <v>0</v>
      </c>
      <c r="O96" s="24" t="s">
        <v>499</v>
      </c>
    </row>
    <row r="97" customFormat="false" ht="15" hidden="false" customHeight="false" outlineLevel="0" collapsed="false">
      <c r="A97" s="22" t="s">
        <v>500</v>
      </c>
      <c r="B97" s="23" t="s">
        <v>453</v>
      </c>
      <c r="C97" s="24" t="s">
        <v>454</v>
      </c>
      <c r="D97" s="24" t="s">
        <v>501</v>
      </c>
      <c r="E97" s="24" t="s">
        <v>502</v>
      </c>
      <c r="F97" s="24" t="s">
        <v>503</v>
      </c>
      <c r="G97" s="23" t="s">
        <v>66</v>
      </c>
      <c r="H97" s="26" t="n">
        <v>4</v>
      </c>
      <c r="I97" s="25" t="s">
        <v>504</v>
      </c>
      <c r="J97" s="27" t="n">
        <v>46349</v>
      </c>
      <c r="K97" s="27" t="n">
        <v>46360</v>
      </c>
      <c r="L97" s="28" t="s">
        <v>67</v>
      </c>
      <c r="M97" s="29" t="n">
        <v>0</v>
      </c>
      <c r="N97" s="30" t="n">
        <f aca="false">H97*M97</f>
        <v>0</v>
      </c>
      <c r="O97" s="24" t="s">
        <v>505</v>
      </c>
    </row>
    <row r="98" customFormat="false" ht="15" hidden="false" customHeight="false" outlineLevel="0" collapsed="false">
      <c r="A98" s="22" t="s">
        <v>506</v>
      </c>
      <c r="B98" s="23" t="s">
        <v>453</v>
      </c>
      <c r="C98" s="24" t="s">
        <v>454</v>
      </c>
      <c r="D98" s="24" t="s">
        <v>99</v>
      </c>
      <c r="E98" s="24" t="s">
        <v>507</v>
      </c>
      <c r="F98" s="25" t="s">
        <v>508</v>
      </c>
      <c r="G98" s="23" t="s">
        <v>102</v>
      </c>
      <c r="H98" s="26" t="n">
        <v>3</v>
      </c>
      <c r="I98" s="25" t="s">
        <v>500</v>
      </c>
      <c r="J98" s="27" t="n">
        <v>46349</v>
      </c>
      <c r="K98" s="27" t="n">
        <v>46360</v>
      </c>
      <c r="L98" s="28" t="s">
        <v>67</v>
      </c>
      <c r="M98" s="29" t="n">
        <v>0</v>
      </c>
      <c r="N98" s="30" t="n">
        <f aca="false">H98*M98</f>
        <v>0</v>
      </c>
      <c r="O98" s="24" t="s">
        <v>509</v>
      </c>
    </row>
    <row r="99" customFormat="false" ht="26.85" hidden="false" customHeight="false" outlineLevel="0" collapsed="false">
      <c r="A99" s="31" t="s">
        <v>510</v>
      </c>
      <c r="B99" s="32" t="s">
        <v>511</v>
      </c>
      <c r="C99" s="33" t="s">
        <v>512</v>
      </c>
      <c r="D99" s="33" t="s">
        <v>513</v>
      </c>
      <c r="E99" s="33" t="s">
        <v>514</v>
      </c>
      <c r="F99" s="33" t="s">
        <v>515</v>
      </c>
      <c r="G99" s="32" t="s">
        <v>80</v>
      </c>
      <c r="H99" s="35" t="n">
        <v>2</v>
      </c>
      <c r="I99" s="34" t="s">
        <v>516</v>
      </c>
      <c r="J99" s="36" t="n">
        <v>46363</v>
      </c>
      <c r="K99" s="36" t="n">
        <v>46374</v>
      </c>
      <c r="L99" s="28" t="s">
        <v>67</v>
      </c>
      <c r="M99" s="29" t="n">
        <v>0</v>
      </c>
      <c r="N99" s="37" t="n">
        <f aca="false">H99*M99</f>
        <v>0</v>
      </c>
      <c r="O99" s="34" t="s">
        <v>517</v>
      </c>
    </row>
    <row r="100" customFormat="false" ht="26.85" hidden="false" customHeight="false" outlineLevel="0" collapsed="false">
      <c r="A100" s="31" t="s">
        <v>518</v>
      </c>
      <c r="B100" s="32" t="s">
        <v>511</v>
      </c>
      <c r="C100" s="33" t="s">
        <v>512</v>
      </c>
      <c r="D100" s="33" t="s">
        <v>353</v>
      </c>
      <c r="E100" s="33" t="s">
        <v>519</v>
      </c>
      <c r="F100" s="33" t="s">
        <v>520</v>
      </c>
      <c r="G100" s="32" t="s">
        <v>138</v>
      </c>
      <c r="H100" s="35" t="n">
        <v>4</v>
      </c>
      <c r="I100" s="34" t="s">
        <v>510</v>
      </c>
      <c r="J100" s="36" t="n">
        <v>46363</v>
      </c>
      <c r="K100" s="36" t="n">
        <v>46374</v>
      </c>
      <c r="L100" s="28" t="s">
        <v>67</v>
      </c>
      <c r="M100" s="29" t="n">
        <v>0</v>
      </c>
      <c r="N100" s="37" t="n">
        <f aca="false">H100*M100</f>
        <v>0</v>
      </c>
      <c r="O100" s="33" t="s">
        <v>521</v>
      </c>
    </row>
    <row r="101" customFormat="false" ht="26.85" hidden="false" customHeight="false" outlineLevel="0" collapsed="false">
      <c r="A101" s="31" t="s">
        <v>522</v>
      </c>
      <c r="B101" s="32" t="s">
        <v>511</v>
      </c>
      <c r="C101" s="33" t="s">
        <v>512</v>
      </c>
      <c r="D101" s="33" t="s">
        <v>523</v>
      </c>
      <c r="E101" s="33" t="s">
        <v>524</v>
      </c>
      <c r="F101" s="34" t="s">
        <v>525</v>
      </c>
      <c r="G101" s="32" t="s">
        <v>128</v>
      </c>
      <c r="H101" s="35" t="n">
        <v>2</v>
      </c>
      <c r="I101" s="34" t="s">
        <v>510</v>
      </c>
      <c r="J101" s="36" t="n">
        <v>46363</v>
      </c>
      <c r="K101" s="36" t="n">
        <v>46374</v>
      </c>
      <c r="L101" s="28" t="s">
        <v>67</v>
      </c>
      <c r="M101" s="29" t="n">
        <v>0</v>
      </c>
      <c r="N101" s="37" t="n">
        <f aca="false">H101*M101</f>
        <v>0</v>
      </c>
      <c r="O101" s="33" t="s">
        <v>526</v>
      </c>
    </row>
    <row r="102" customFormat="false" ht="26.85" hidden="false" customHeight="false" outlineLevel="0" collapsed="false">
      <c r="A102" s="31" t="s">
        <v>527</v>
      </c>
      <c r="B102" s="32" t="s">
        <v>511</v>
      </c>
      <c r="C102" s="33" t="s">
        <v>512</v>
      </c>
      <c r="D102" s="33" t="s">
        <v>528</v>
      </c>
      <c r="E102" s="33" t="s">
        <v>529</v>
      </c>
      <c r="F102" s="33" t="s">
        <v>530</v>
      </c>
      <c r="G102" s="32" t="s">
        <v>133</v>
      </c>
      <c r="H102" s="35" t="n">
        <v>2.5</v>
      </c>
      <c r="I102" s="34" t="s">
        <v>510</v>
      </c>
      <c r="J102" s="36" t="n">
        <v>46363</v>
      </c>
      <c r="K102" s="36" t="n">
        <v>46374</v>
      </c>
      <c r="L102" s="28" t="s">
        <v>67</v>
      </c>
      <c r="M102" s="29" t="n">
        <v>0</v>
      </c>
      <c r="N102" s="37" t="n">
        <f aca="false">H102*M102</f>
        <v>0</v>
      </c>
      <c r="O102" s="33" t="s">
        <v>531</v>
      </c>
    </row>
    <row r="103" customFormat="false" ht="26.85" hidden="false" customHeight="false" outlineLevel="0" collapsed="false">
      <c r="A103" s="31" t="s">
        <v>532</v>
      </c>
      <c r="B103" s="32" t="s">
        <v>511</v>
      </c>
      <c r="C103" s="33" t="s">
        <v>512</v>
      </c>
      <c r="D103" s="33" t="s">
        <v>353</v>
      </c>
      <c r="E103" s="33" t="s">
        <v>533</v>
      </c>
      <c r="F103" s="33" t="s">
        <v>534</v>
      </c>
      <c r="G103" s="32" t="s">
        <v>123</v>
      </c>
      <c r="H103" s="35" t="n">
        <v>2</v>
      </c>
      <c r="I103" s="34" t="s">
        <v>510</v>
      </c>
      <c r="J103" s="36" t="n">
        <v>46363</v>
      </c>
      <c r="K103" s="36" t="n">
        <v>46374</v>
      </c>
      <c r="L103" s="28" t="s">
        <v>67</v>
      </c>
      <c r="M103" s="29" t="n">
        <v>0</v>
      </c>
      <c r="N103" s="37" t="n">
        <f aca="false">H103*M103</f>
        <v>0</v>
      </c>
      <c r="O103" s="33" t="s">
        <v>535</v>
      </c>
    </row>
    <row r="104" customFormat="false" ht="26.85" hidden="false" customHeight="false" outlineLevel="0" collapsed="false">
      <c r="A104" s="31" t="s">
        <v>536</v>
      </c>
      <c r="B104" s="32" t="s">
        <v>511</v>
      </c>
      <c r="C104" s="33" t="s">
        <v>512</v>
      </c>
      <c r="D104" s="33" t="s">
        <v>537</v>
      </c>
      <c r="E104" s="33" t="s">
        <v>538</v>
      </c>
      <c r="F104" s="33" t="s">
        <v>539</v>
      </c>
      <c r="G104" s="32" t="s">
        <v>123</v>
      </c>
      <c r="H104" s="35" t="n">
        <v>5</v>
      </c>
      <c r="I104" s="34" t="s">
        <v>540</v>
      </c>
      <c r="J104" s="36" t="n">
        <v>46363</v>
      </c>
      <c r="K104" s="36" t="n">
        <v>46374</v>
      </c>
      <c r="L104" s="28" t="s">
        <v>67</v>
      </c>
      <c r="M104" s="29" t="n">
        <v>0</v>
      </c>
      <c r="N104" s="37" t="n">
        <f aca="false">H104*M104</f>
        <v>0</v>
      </c>
      <c r="O104" s="33" t="s">
        <v>541</v>
      </c>
    </row>
    <row r="105" customFormat="false" ht="26.85" hidden="false" customHeight="false" outlineLevel="0" collapsed="false">
      <c r="A105" s="31" t="s">
        <v>542</v>
      </c>
      <c r="B105" s="32" t="s">
        <v>511</v>
      </c>
      <c r="C105" s="33" t="s">
        <v>512</v>
      </c>
      <c r="D105" s="33" t="s">
        <v>537</v>
      </c>
      <c r="E105" s="33" t="s">
        <v>543</v>
      </c>
      <c r="F105" s="33" t="s">
        <v>544</v>
      </c>
      <c r="G105" s="32" t="s">
        <v>133</v>
      </c>
      <c r="H105" s="35" t="n">
        <v>2</v>
      </c>
      <c r="I105" s="34" t="s">
        <v>536</v>
      </c>
      <c r="J105" s="36" t="n">
        <v>46363</v>
      </c>
      <c r="K105" s="36" t="n">
        <v>46374</v>
      </c>
      <c r="L105" s="28" t="s">
        <v>67</v>
      </c>
      <c r="M105" s="29" t="n">
        <v>0</v>
      </c>
      <c r="N105" s="37" t="n">
        <f aca="false">H105*M105</f>
        <v>0</v>
      </c>
      <c r="O105" s="33" t="s">
        <v>545</v>
      </c>
    </row>
    <row r="106" customFormat="false" ht="26.85" hidden="false" customHeight="false" outlineLevel="0" collapsed="false">
      <c r="A106" s="31" t="s">
        <v>546</v>
      </c>
      <c r="B106" s="32" t="s">
        <v>511</v>
      </c>
      <c r="C106" s="33" t="s">
        <v>512</v>
      </c>
      <c r="D106" s="33" t="s">
        <v>523</v>
      </c>
      <c r="E106" s="33" t="s">
        <v>547</v>
      </c>
      <c r="F106" s="33" t="s">
        <v>548</v>
      </c>
      <c r="G106" s="32" t="s">
        <v>128</v>
      </c>
      <c r="H106" s="35" t="n">
        <v>2</v>
      </c>
      <c r="I106" s="34" t="s">
        <v>510</v>
      </c>
      <c r="J106" s="36" t="n">
        <v>46363</v>
      </c>
      <c r="K106" s="36" t="n">
        <v>46374</v>
      </c>
      <c r="L106" s="28" t="s">
        <v>67</v>
      </c>
      <c r="M106" s="29" t="n">
        <v>0</v>
      </c>
      <c r="N106" s="37" t="n">
        <f aca="false">H106*M106</f>
        <v>0</v>
      </c>
      <c r="O106" s="33" t="s">
        <v>549</v>
      </c>
    </row>
    <row r="107" customFormat="false" ht="26.85" hidden="false" customHeight="false" outlineLevel="0" collapsed="false">
      <c r="A107" s="31" t="s">
        <v>550</v>
      </c>
      <c r="B107" s="32" t="s">
        <v>511</v>
      </c>
      <c r="C107" s="33" t="s">
        <v>512</v>
      </c>
      <c r="D107" s="33" t="s">
        <v>551</v>
      </c>
      <c r="E107" s="33" t="s">
        <v>552</v>
      </c>
      <c r="F107" s="34" t="s">
        <v>553</v>
      </c>
      <c r="G107" s="32" t="s">
        <v>123</v>
      </c>
      <c r="H107" s="35" t="n">
        <v>1</v>
      </c>
      <c r="I107" s="34" t="s">
        <v>510</v>
      </c>
      <c r="J107" s="36" t="n">
        <v>46363</v>
      </c>
      <c r="K107" s="36" t="n">
        <v>46374</v>
      </c>
      <c r="L107" s="28" t="s">
        <v>67</v>
      </c>
      <c r="M107" s="29" t="n">
        <v>0</v>
      </c>
      <c r="N107" s="37" t="n">
        <f aca="false">H107*M107</f>
        <v>0</v>
      </c>
      <c r="O107" s="33" t="s">
        <v>554</v>
      </c>
    </row>
    <row r="108" customFormat="false" ht="26.85" hidden="false" customHeight="false" outlineLevel="0" collapsed="false">
      <c r="A108" s="31" t="s">
        <v>555</v>
      </c>
      <c r="B108" s="32" t="s">
        <v>511</v>
      </c>
      <c r="C108" s="33" t="s">
        <v>512</v>
      </c>
      <c r="D108" s="33" t="s">
        <v>556</v>
      </c>
      <c r="E108" s="33" t="s">
        <v>557</v>
      </c>
      <c r="F108" s="33" t="s">
        <v>558</v>
      </c>
      <c r="G108" s="32" t="s">
        <v>138</v>
      </c>
      <c r="H108" s="35" t="n">
        <v>2.5</v>
      </c>
      <c r="I108" s="34" t="s">
        <v>559</v>
      </c>
      <c r="J108" s="36" t="n">
        <v>46363</v>
      </c>
      <c r="K108" s="36" t="n">
        <v>46374</v>
      </c>
      <c r="L108" s="28" t="s">
        <v>67</v>
      </c>
      <c r="M108" s="29" t="n">
        <v>0</v>
      </c>
      <c r="N108" s="37" t="n">
        <f aca="false">H108*M108</f>
        <v>0</v>
      </c>
      <c r="O108" s="33" t="s">
        <v>560</v>
      </c>
    </row>
    <row r="109" customFormat="false" ht="26.85" hidden="false" customHeight="false" outlineLevel="0" collapsed="false">
      <c r="A109" s="31" t="s">
        <v>561</v>
      </c>
      <c r="B109" s="32" t="s">
        <v>511</v>
      </c>
      <c r="C109" s="33" t="s">
        <v>512</v>
      </c>
      <c r="D109" s="33" t="s">
        <v>556</v>
      </c>
      <c r="E109" s="34" t="s">
        <v>562</v>
      </c>
      <c r="F109" s="33" t="s">
        <v>563</v>
      </c>
      <c r="G109" s="32" t="s">
        <v>128</v>
      </c>
      <c r="H109" s="35" t="n">
        <v>4</v>
      </c>
      <c r="I109" s="34" t="s">
        <v>564</v>
      </c>
      <c r="J109" s="36" t="n">
        <v>46363</v>
      </c>
      <c r="K109" s="36" t="n">
        <v>46374</v>
      </c>
      <c r="L109" s="28" t="s">
        <v>67</v>
      </c>
      <c r="M109" s="29" t="n">
        <v>0</v>
      </c>
      <c r="N109" s="37" t="n">
        <f aca="false">H109*M109</f>
        <v>0</v>
      </c>
      <c r="O109" s="34" t="s">
        <v>565</v>
      </c>
    </row>
    <row r="110" customFormat="false" ht="26.85" hidden="false" customHeight="false" outlineLevel="0" collapsed="false">
      <c r="A110" s="31" t="s">
        <v>566</v>
      </c>
      <c r="B110" s="32" t="s">
        <v>511</v>
      </c>
      <c r="C110" s="33" t="s">
        <v>512</v>
      </c>
      <c r="D110" s="33" t="s">
        <v>567</v>
      </c>
      <c r="E110" s="33" t="s">
        <v>568</v>
      </c>
      <c r="F110" s="33" t="s">
        <v>569</v>
      </c>
      <c r="G110" s="32" t="s">
        <v>133</v>
      </c>
      <c r="H110" s="35" t="n">
        <v>1</v>
      </c>
      <c r="I110" s="34" t="s">
        <v>510</v>
      </c>
      <c r="J110" s="36" t="n">
        <v>46363</v>
      </c>
      <c r="K110" s="36" t="n">
        <v>46374</v>
      </c>
      <c r="L110" s="28" t="s">
        <v>67</v>
      </c>
      <c r="M110" s="29" t="n">
        <v>0</v>
      </c>
      <c r="N110" s="37" t="n">
        <f aca="false">H110*M110</f>
        <v>0</v>
      </c>
      <c r="O110" s="33" t="s">
        <v>570</v>
      </c>
    </row>
    <row r="111" customFormat="false" ht="26.85" hidden="false" customHeight="false" outlineLevel="0" collapsed="false">
      <c r="A111" s="31" t="s">
        <v>571</v>
      </c>
      <c r="B111" s="32" t="s">
        <v>511</v>
      </c>
      <c r="C111" s="33" t="s">
        <v>512</v>
      </c>
      <c r="D111" s="33" t="s">
        <v>523</v>
      </c>
      <c r="E111" s="33" t="s">
        <v>572</v>
      </c>
      <c r="F111" s="34" t="s">
        <v>573</v>
      </c>
      <c r="G111" s="32" t="s">
        <v>133</v>
      </c>
      <c r="H111" s="35" t="n">
        <v>3</v>
      </c>
      <c r="I111" s="34" t="s">
        <v>510</v>
      </c>
      <c r="J111" s="36" t="n">
        <v>46363</v>
      </c>
      <c r="K111" s="36" t="n">
        <v>46374</v>
      </c>
      <c r="L111" s="28" t="s">
        <v>67</v>
      </c>
      <c r="M111" s="29" t="n">
        <v>0</v>
      </c>
      <c r="N111" s="37" t="n">
        <f aca="false">H111*M111</f>
        <v>0</v>
      </c>
      <c r="O111" s="33" t="s">
        <v>222</v>
      </c>
    </row>
    <row r="112" customFormat="false" ht="26.85" hidden="false" customHeight="false" outlineLevel="0" collapsed="false">
      <c r="A112" s="31" t="s">
        <v>574</v>
      </c>
      <c r="B112" s="32" t="s">
        <v>511</v>
      </c>
      <c r="C112" s="33" t="s">
        <v>512</v>
      </c>
      <c r="D112" s="33" t="s">
        <v>464</v>
      </c>
      <c r="E112" s="33" t="s">
        <v>575</v>
      </c>
      <c r="F112" s="34" t="s">
        <v>576</v>
      </c>
      <c r="G112" s="32" t="s">
        <v>138</v>
      </c>
      <c r="H112" s="35" t="n">
        <v>2</v>
      </c>
      <c r="I112" s="34" t="s">
        <v>510</v>
      </c>
      <c r="J112" s="36" t="n">
        <v>46363</v>
      </c>
      <c r="K112" s="36" t="n">
        <v>46374</v>
      </c>
      <c r="L112" s="28" t="s">
        <v>67</v>
      </c>
      <c r="M112" s="29" t="n">
        <v>0</v>
      </c>
      <c r="N112" s="37" t="n">
        <f aca="false">H112*M112</f>
        <v>0</v>
      </c>
      <c r="O112" s="33" t="s">
        <v>577</v>
      </c>
    </row>
    <row r="113" customFormat="false" ht="26.85" hidden="false" customHeight="false" outlineLevel="0" collapsed="false">
      <c r="A113" s="31" t="s">
        <v>578</v>
      </c>
      <c r="B113" s="32" t="s">
        <v>511</v>
      </c>
      <c r="C113" s="33" t="s">
        <v>512</v>
      </c>
      <c r="D113" s="33" t="s">
        <v>149</v>
      </c>
      <c r="E113" s="34" t="s">
        <v>579</v>
      </c>
      <c r="F113" s="34" t="s">
        <v>580</v>
      </c>
      <c r="G113" s="32" t="s">
        <v>152</v>
      </c>
      <c r="H113" s="35" t="n">
        <v>1.5</v>
      </c>
      <c r="I113" s="34" t="s">
        <v>581</v>
      </c>
      <c r="J113" s="36" t="n">
        <v>46363</v>
      </c>
      <c r="K113" s="36" t="n">
        <v>46374</v>
      </c>
      <c r="L113" s="28" t="s">
        <v>67</v>
      </c>
      <c r="M113" s="29" t="n">
        <v>0</v>
      </c>
      <c r="N113" s="37" t="n">
        <f aca="false">H113*M113</f>
        <v>0</v>
      </c>
      <c r="O113" s="33" t="s">
        <v>582</v>
      </c>
    </row>
    <row r="114" customFormat="false" ht="26.85" hidden="false" customHeight="false" outlineLevel="0" collapsed="false">
      <c r="A114" s="22" t="s">
        <v>583</v>
      </c>
      <c r="B114" s="23" t="s">
        <v>584</v>
      </c>
      <c r="C114" s="24" t="s">
        <v>585</v>
      </c>
      <c r="D114" s="24" t="s">
        <v>586</v>
      </c>
      <c r="E114" s="24" t="s">
        <v>587</v>
      </c>
      <c r="F114" s="24" t="s">
        <v>588</v>
      </c>
      <c r="G114" s="23" t="s">
        <v>138</v>
      </c>
      <c r="H114" s="26" t="n">
        <v>6</v>
      </c>
      <c r="I114" s="25" t="s">
        <v>510</v>
      </c>
      <c r="J114" s="27" t="n">
        <v>46377</v>
      </c>
      <c r="K114" s="27" t="n">
        <v>46388</v>
      </c>
      <c r="L114" s="28" t="s">
        <v>67</v>
      </c>
      <c r="M114" s="29" t="n">
        <v>0</v>
      </c>
      <c r="N114" s="30" t="n">
        <f aca="false">H114*M114</f>
        <v>0</v>
      </c>
      <c r="O114" s="24" t="s">
        <v>589</v>
      </c>
    </row>
    <row r="115" customFormat="false" ht="26.85" hidden="false" customHeight="false" outlineLevel="0" collapsed="false">
      <c r="A115" s="22" t="s">
        <v>590</v>
      </c>
      <c r="B115" s="23" t="s">
        <v>584</v>
      </c>
      <c r="C115" s="24" t="s">
        <v>585</v>
      </c>
      <c r="D115" s="24" t="s">
        <v>586</v>
      </c>
      <c r="E115" s="24" t="s">
        <v>591</v>
      </c>
      <c r="F115" s="25" t="s">
        <v>592</v>
      </c>
      <c r="G115" s="23" t="s">
        <v>128</v>
      </c>
      <c r="H115" s="26" t="n">
        <v>4</v>
      </c>
      <c r="I115" s="25" t="s">
        <v>593</v>
      </c>
      <c r="J115" s="27" t="n">
        <v>46377</v>
      </c>
      <c r="K115" s="27" t="n">
        <v>46388</v>
      </c>
      <c r="L115" s="28" t="s">
        <v>67</v>
      </c>
      <c r="M115" s="29" t="n">
        <v>0</v>
      </c>
      <c r="N115" s="30" t="n">
        <f aca="false">H115*M115</f>
        <v>0</v>
      </c>
      <c r="O115" s="24" t="s">
        <v>594</v>
      </c>
    </row>
    <row r="116" customFormat="false" ht="26.85" hidden="false" customHeight="false" outlineLevel="0" collapsed="false">
      <c r="A116" s="22" t="s">
        <v>595</v>
      </c>
      <c r="B116" s="23" t="s">
        <v>584</v>
      </c>
      <c r="C116" s="24" t="s">
        <v>585</v>
      </c>
      <c r="D116" s="24" t="s">
        <v>596</v>
      </c>
      <c r="E116" s="24" t="s">
        <v>597</v>
      </c>
      <c r="F116" s="24" t="s">
        <v>598</v>
      </c>
      <c r="G116" s="23" t="s">
        <v>138</v>
      </c>
      <c r="H116" s="26" t="n">
        <v>4</v>
      </c>
      <c r="I116" s="25" t="s">
        <v>510</v>
      </c>
      <c r="J116" s="27" t="n">
        <v>46377</v>
      </c>
      <c r="K116" s="27" t="n">
        <v>46388</v>
      </c>
      <c r="L116" s="28" t="s">
        <v>67</v>
      </c>
      <c r="M116" s="29" t="n">
        <v>0</v>
      </c>
      <c r="N116" s="30" t="n">
        <f aca="false">H116*M116</f>
        <v>0</v>
      </c>
      <c r="O116" s="24" t="s">
        <v>599</v>
      </c>
    </row>
    <row r="117" customFormat="false" ht="26.85" hidden="false" customHeight="false" outlineLevel="0" collapsed="false">
      <c r="A117" s="22" t="s">
        <v>600</v>
      </c>
      <c r="B117" s="23" t="s">
        <v>584</v>
      </c>
      <c r="C117" s="24" t="s">
        <v>585</v>
      </c>
      <c r="D117" s="24" t="s">
        <v>601</v>
      </c>
      <c r="E117" s="24" t="s">
        <v>602</v>
      </c>
      <c r="F117" s="25" t="s">
        <v>603</v>
      </c>
      <c r="G117" s="23" t="s">
        <v>128</v>
      </c>
      <c r="H117" s="26" t="n">
        <v>5</v>
      </c>
      <c r="I117" s="25" t="s">
        <v>604</v>
      </c>
      <c r="J117" s="27" t="n">
        <v>46377</v>
      </c>
      <c r="K117" s="27" t="n">
        <v>46388</v>
      </c>
      <c r="L117" s="28" t="s">
        <v>67</v>
      </c>
      <c r="M117" s="29" t="n">
        <v>0</v>
      </c>
      <c r="N117" s="30" t="n">
        <f aca="false">H117*M117</f>
        <v>0</v>
      </c>
      <c r="O117" s="24" t="s">
        <v>605</v>
      </c>
    </row>
    <row r="118" customFormat="false" ht="26.85" hidden="false" customHeight="false" outlineLevel="0" collapsed="false">
      <c r="A118" s="22" t="s">
        <v>606</v>
      </c>
      <c r="B118" s="23" t="s">
        <v>584</v>
      </c>
      <c r="C118" s="24" t="s">
        <v>585</v>
      </c>
      <c r="D118" s="24" t="s">
        <v>551</v>
      </c>
      <c r="E118" s="25" t="s">
        <v>607</v>
      </c>
      <c r="F118" s="24" t="s">
        <v>608</v>
      </c>
      <c r="G118" s="23" t="s">
        <v>133</v>
      </c>
      <c r="H118" s="26" t="n">
        <v>4.5</v>
      </c>
      <c r="I118" s="25" t="s">
        <v>609</v>
      </c>
      <c r="J118" s="27" t="n">
        <v>46377</v>
      </c>
      <c r="K118" s="27" t="n">
        <v>46388</v>
      </c>
      <c r="L118" s="28" t="s">
        <v>67</v>
      </c>
      <c r="M118" s="29" t="n">
        <v>0</v>
      </c>
      <c r="N118" s="30" t="n">
        <f aca="false">H118*M118</f>
        <v>0</v>
      </c>
      <c r="O118" s="24" t="s">
        <v>610</v>
      </c>
    </row>
    <row r="119" customFormat="false" ht="26.85" hidden="false" customHeight="false" outlineLevel="0" collapsed="false">
      <c r="A119" s="22" t="s">
        <v>611</v>
      </c>
      <c r="B119" s="23" t="s">
        <v>584</v>
      </c>
      <c r="C119" s="24" t="s">
        <v>585</v>
      </c>
      <c r="D119" s="25" t="s">
        <v>399</v>
      </c>
      <c r="E119" s="24" t="s">
        <v>612</v>
      </c>
      <c r="F119" s="24" t="s">
        <v>613</v>
      </c>
      <c r="G119" s="23" t="s">
        <v>123</v>
      </c>
      <c r="H119" s="26" t="n">
        <v>7</v>
      </c>
      <c r="I119" s="25" t="s">
        <v>614</v>
      </c>
      <c r="J119" s="27" t="n">
        <v>46377</v>
      </c>
      <c r="K119" s="27" t="n">
        <v>46388</v>
      </c>
      <c r="L119" s="28" t="s">
        <v>67</v>
      </c>
      <c r="M119" s="29" t="n">
        <v>0</v>
      </c>
      <c r="N119" s="30" t="n">
        <f aca="false">H119*M119</f>
        <v>0</v>
      </c>
      <c r="O119" s="24" t="s">
        <v>615</v>
      </c>
    </row>
    <row r="120" customFormat="false" ht="26.85" hidden="false" customHeight="false" outlineLevel="0" collapsed="false">
      <c r="A120" s="22" t="s">
        <v>616</v>
      </c>
      <c r="B120" s="23" t="s">
        <v>584</v>
      </c>
      <c r="C120" s="24" t="s">
        <v>585</v>
      </c>
      <c r="D120" s="25" t="s">
        <v>399</v>
      </c>
      <c r="E120" s="24" t="s">
        <v>617</v>
      </c>
      <c r="F120" s="25" t="s">
        <v>618</v>
      </c>
      <c r="G120" s="23" t="s">
        <v>123</v>
      </c>
      <c r="H120" s="26" t="n">
        <v>3</v>
      </c>
      <c r="I120" s="25" t="s">
        <v>619</v>
      </c>
      <c r="J120" s="27" t="n">
        <v>46377</v>
      </c>
      <c r="K120" s="27" t="n">
        <v>46388</v>
      </c>
      <c r="L120" s="28" t="s">
        <v>67</v>
      </c>
      <c r="M120" s="29" t="n">
        <v>0</v>
      </c>
      <c r="N120" s="30" t="n">
        <f aca="false">H120*M120</f>
        <v>0</v>
      </c>
      <c r="O120" s="24" t="s">
        <v>620</v>
      </c>
    </row>
    <row r="121" customFormat="false" ht="26.85" hidden="false" customHeight="false" outlineLevel="0" collapsed="false">
      <c r="A121" s="22" t="s">
        <v>621</v>
      </c>
      <c r="B121" s="23" t="s">
        <v>584</v>
      </c>
      <c r="C121" s="24" t="s">
        <v>585</v>
      </c>
      <c r="D121" s="24" t="s">
        <v>622</v>
      </c>
      <c r="E121" s="24" t="s">
        <v>623</v>
      </c>
      <c r="F121" s="24" t="s">
        <v>624</v>
      </c>
      <c r="G121" s="23" t="s">
        <v>133</v>
      </c>
      <c r="H121" s="26" t="n">
        <v>4.5</v>
      </c>
      <c r="I121" s="25" t="s">
        <v>436</v>
      </c>
      <c r="J121" s="27" t="n">
        <v>46377</v>
      </c>
      <c r="K121" s="27" t="n">
        <v>46388</v>
      </c>
      <c r="L121" s="28" t="s">
        <v>67</v>
      </c>
      <c r="M121" s="29" t="n">
        <v>0</v>
      </c>
      <c r="N121" s="30" t="n">
        <f aca="false">H121*M121</f>
        <v>0</v>
      </c>
      <c r="O121" s="24" t="s">
        <v>625</v>
      </c>
    </row>
    <row r="122" customFormat="false" ht="26.85" hidden="false" customHeight="false" outlineLevel="0" collapsed="false">
      <c r="A122" s="22" t="s">
        <v>626</v>
      </c>
      <c r="B122" s="23" t="s">
        <v>584</v>
      </c>
      <c r="C122" s="24" t="s">
        <v>585</v>
      </c>
      <c r="D122" s="24" t="s">
        <v>149</v>
      </c>
      <c r="E122" s="24" t="s">
        <v>627</v>
      </c>
      <c r="F122" s="24" t="s">
        <v>628</v>
      </c>
      <c r="G122" s="23" t="s">
        <v>152</v>
      </c>
      <c r="H122" s="26" t="n">
        <v>4</v>
      </c>
      <c r="I122" s="25" t="s">
        <v>629</v>
      </c>
      <c r="J122" s="27" t="n">
        <v>46377</v>
      </c>
      <c r="K122" s="27" t="n">
        <v>46388</v>
      </c>
      <c r="L122" s="28" t="s">
        <v>67</v>
      </c>
      <c r="M122" s="29" t="n">
        <v>0</v>
      </c>
      <c r="N122" s="30" t="n">
        <f aca="false">H122*M122</f>
        <v>0</v>
      </c>
      <c r="O122" s="24" t="s">
        <v>630</v>
      </c>
    </row>
    <row r="123" customFormat="false" ht="26.85" hidden="false" customHeight="false" outlineLevel="0" collapsed="false">
      <c r="A123" s="22" t="s">
        <v>631</v>
      </c>
      <c r="B123" s="23" t="s">
        <v>584</v>
      </c>
      <c r="C123" s="24" t="s">
        <v>585</v>
      </c>
      <c r="D123" s="24" t="s">
        <v>99</v>
      </c>
      <c r="E123" s="24" t="s">
        <v>632</v>
      </c>
      <c r="F123" s="24" t="s">
        <v>633</v>
      </c>
      <c r="G123" s="23" t="s">
        <v>102</v>
      </c>
      <c r="H123" s="26" t="n">
        <v>2.5</v>
      </c>
      <c r="I123" s="25" t="s">
        <v>626</v>
      </c>
      <c r="J123" s="27" t="n">
        <v>46377</v>
      </c>
      <c r="K123" s="27" t="n">
        <v>46388</v>
      </c>
      <c r="L123" s="28" t="s">
        <v>67</v>
      </c>
      <c r="M123" s="29" t="n">
        <v>0</v>
      </c>
      <c r="N123" s="30" t="n">
        <f aca="false">H123*M123</f>
        <v>0</v>
      </c>
      <c r="O123" s="24" t="s">
        <v>634</v>
      </c>
    </row>
    <row r="124" customFormat="false" ht="26.85" hidden="false" customHeight="false" outlineLevel="0" collapsed="false">
      <c r="A124" s="31" t="s">
        <v>635</v>
      </c>
      <c r="B124" s="32" t="s">
        <v>636</v>
      </c>
      <c r="C124" s="33" t="s">
        <v>637</v>
      </c>
      <c r="D124" s="33" t="s">
        <v>601</v>
      </c>
      <c r="E124" s="34" t="s">
        <v>638</v>
      </c>
      <c r="F124" s="34" t="s">
        <v>639</v>
      </c>
      <c r="G124" s="32" t="s">
        <v>128</v>
      </c>
      <c r="H124" s="35" t="n">
        <v>4</v>
      </c>
      <c r="I124" s="34" t="s">
        <v>600</v>
      </c>
      <c r="J124" s="36" t="n">
        <v>46391</v>
      </c>
      <c r="K124" s="36" t="n">
        <v>46402</v>
      </c>
      <c r="L124" s="28" t="s">
        <v>67</v>
      </c>
      <c r="M124" s="29" t="n">
        <v>0</v>
      </c>
      <c r="N124" s="37" t="n">
        <f aca="false">H124*M124</f>
        <v>0</v>
      </c>
      <c r="O124" s="33" t="s">
        <v>640</v>
      </c>
    </row>
    <row r="125" customFormat="false" ht="26.85" hidden="false" customHeight="false" outlineLevel="0" collapsed="false">
      <c r="A125" s="31" t="s">
        <v>641</v>
      </c>
      <c r="B125" s="32" t="s">
        <v>636</v>
      </c>
      <c r="C125" s="33" t="s">
        <v>637</v>
      </c>
      <c r="D125" s="33" t="s">
        <v>601</v>
      </c>
      <c r="E125" s="34" t="s">
        <v>642</v>
      </c>
      <c r="F125" s="34" t="s">
        <v>643</v>
      </c>
      <c r="G125" s="32" t="s">
        <v>133</v>
      </c>
      <c r="H125" s="35" t="n">
        <v>3.5</v>
      </c>
      <c r="I125" s="34" t="s">
        <v>600</v>
      </c>
      <c r="J125" s="36" t="n">
        <v>46391</v>
      </c>
      <c r="K125" s="36" t="n">
        <v>46402</v>
      </c>
      <c r="L125" s="28" t="s">
        <v>67</v>
      </c>
      <c r="M125" s="29" t="n">
        <v>0</v>
      </c>
      <c r="N125" s="37" t="n">
        <f aca="false">H125*M125</f>
        <v>0</v>
      </c>
      <c r="O125" s="33" t="s">
        <v>644</v>
      </c>
    </row>
    <row r="126" customFormat="false" ht="26.85" hidden="false" customHeight="false" outlineLevel="0" collapsed="false">
      <c r="A126" s="31" t="s">
        <v>645</v>
      </c>
      <c r="B126" s="32" t="s">
        <v>636</v>
      </c>
      <c r="C126" s="33" t="s">
        <v>637</v>
      </c>
      <c r="D126" s="33" t="s">
        <v>601</v>
      </c>
      <c r="E126" s="34" t="s">
        <v>646</v>
      </c>
      <c r="F126" s="33" t="s">
        <v>647</v>
      </c>
      <c r="G126" s="32" t="s">
        <v>133</v>
      </c>
      <c r="H126" s="35" t="n">
        <v>3.5</v>
      </c>
      <c r="I126" s="34" t="s">
        <v>600</v>
      </c>
      <c r="J126" s="36" t="n">
        <v>46391</v>
      </c>
      <c r="K126" s="36" t="n">
        <v>46402</v>
      </c>
      <c r="L126" s="28" t="s">
        <v>67</v>
      </c>
      <c r="M126" s="29" t="n">
        <v>0</v>
      </c>
      <c r="N126" s="37" t="n">
        <f aca="false">H126*M126</f>
        <v>0</v>
      </c>
      <c r="O126" s="33" t="s">
        <v>648</v>
      </c>
    </row>
    <row r="127" customFormat="false" ht="26.85" hidden="false" customHeight="false" outlineLevel="0" collapsed="false">
      <c r="A127" s="31" t="s">
        <v>649</v>
      </c>
      <c r="B127" s="32" t="s">
        <v>636</v>
      </c>
      <c r="C127" s="33" t="s">
        <v>637</v>
      </c>
      <c r="D127" s="33" t="s">
        <v>601</v>
      </c>
      <c r="E127" s="34" t="s">
        <v>650</v>
      </c>
      <c r="F127" s="33" t="s">
        <v>651</v>
      </c>
      <c r="G127" s="32" t="s">
        <v>138</v>
      </c>
      <c r="H127" s="35" t="n">
        <v>2.5</v>
      </c>
      <c r="I127" s="34" t="s">
        <v>600</v>
      </c>
      <c r="J127" s="36" t="n">
        <v>46391</v>
      </c>
      <c r="K127" s="36" t="n">
        <v>46402</v>
      </c>
      <c r="L127" s="28" t="s">
        <v>67</v>
      </c>
      <c r="M127" s="29" t="n">
        <v>0</v>
      </c>
      <c r="N127" s="37" t="n">
        <f aca="false">H127*M127</f>
        <v>0</v>
      </c>
      <c r="O127" s="33" t="s">
        <v>652</v>
      </c>
    </row>
    <row r="128" customFormat="false" ht="26.85" hidden="false" customHeight="false" outlineLevel="0" collapsed="false">
      <c r="A128" s="31" t="s">
        <v>653</v>
      </c>
      <c r="B128" s="32" t="s">
        <v>636</v>
      </c>
      <c r="C128" s="33" t="s">
        <v>637</v>
      </c>
      <c r="D128" s="33" t="s">
        <v>601</v>
      </c>
      <c r="E128" s="33" t="s">
        <v>654</v>
      </c>
      <c r="F128" s="34" t="s">
        <v>655</v>
      </c>
      <c r="G128" s="32" t="s">
        <v>123</v>
      </c>
      <c r="H128" s="35" t="n">
        <v>6</v>
      </c>
      <c r="I128" s="34" t="s">
        <v>635</v>
      </c>
      <c r="J128" s="36" t="n">
        <v>46391</v>
      </c>
      <c r="K128" s="36" t="n">
        <v>46402</v>
      </c>
      <c r="L128" s="28" t="s">
        <v>67</v>
      </c>
      <c r="M128" s="29" t="n">
        <v>0</v>
      </c>
      <c r="N128" s="37" t="n">
        <f aca="false">H128*M128</f>
        <v>0</v>
      </c>
      <c r="O128" s="33" t="s">
        <v>656</v>
      </c>
    </row>
    <row r="129" customFormat="false" ht="26.85" hidden="false" customHeight="false" outlineLevel="0" collapsed="false">
      <c r="A129" s="31" t="s">
        <v>657</v>
      </c>
      <c r="B129" s="32" t="s">
        <v>636</v>
      </c>
      <c r="C129" s="33" t="s">
        <v>637</v>
      </c>
      <c r="D129" s="33" t="s">
        <v>658</v>
      </c>
      <c r="E129" s="33" t="s">
        <v>659</v>
      </c>
      <c r="F129" s="33" t="s">
        <v>660</v>
      </c>
      <c r="G129" s="32" t="s">
        <v>138</v>
      </c>
      <c r="H129" s="35" t="n">
        <v>5</v>
      </c>
      <c r="I129" s="34" t="s">
        <v>595</v>
      </c>
      <c r="J129" s="36" t="n">
        <v>46391</v>
      </c>
      <c r="K129" s="36" t="n">
        <v>46402</v>
      </c>
      <c r="L129" s="28" t="s">
        <v>67</v>
      </c>
      <c r="M129" s="29" t="n">
        <v>0</v>
      </c>
      <c r="N129" s="37" t="n">
        <f aca="false">H129*M129</f>
        <v>0</v>
      </c>
      <c r="O129" s="33" t="s">
        <v>661</v>
      </c>
    </row>
    <row r="130" customFormat="false" ht="26.85" hidden="false" customHeight="false" outlineLevel="0" collapsed="false">
      <c r="A130" s="31" t="s">
        <v>662</v>
      </c>
      <c r="B130" s="32" t="s">
        <v>636</v>
      </c>
      <c r="C130" s="33" t="s">
        <v>637</v>
      </c>
      <c r="D130" s="33" t="s">
        <v>353</v>
      </c>
      <c r="E130" s="33" t="s">
        <v>663</v>
      </c>
      <c r="F130" s="33" t="s">
        <v>664</v>
      </c>
      <c r="G130" s="32" t="s">
        <v>128</v>
      </c>
      <c r="H130" s="35" t="n">
        <v>3</v>
      </c>
      <c r="I130" s="34" t="s">
        <v>657</v>
      </c>
      <c r="J130" s="36" t="n">
        <v>46391</v>
      </c>
      <c r="K130" s="36" t="n">
        <v>46402</v>
      </c>
      <c r="L130" s="28" t="s">
        <v>67</v>
      </c>
      <c r="M130" s="29" t="n">
        <v>0</v>
      </c>
      <c r="N130" s="37" t="n">
        <f aca="false">H130*M130</f>
        <v>0</v>
      </c>
      <c r="O130" s="33" t="s">
        <v>665</v>
      </c>
    </row>
    <row r="131" customFormat="false" ht="26.85" hidden="false" customHeight="false" outlineLevel="0" collapsed="false">
      <c r="A131" s="31" t="s">
        <v>666</v>
      </c>
      <c r="B131" s="32" t="s">
        <v>636</v>
      </c>
      <c r="C131" s="33" t="s">
        <v>637</v>
      </c>
      <c r="D131" s="33" t="s">
        <v>149</v>
      </c>
      <c r="E131" s="33" t="s">
        <v>667</v>
      </c>
      <c r="F131" s="33" t="s">
        <v>668</v>
      </c>
      <c r="G131" s="32" t="s">
        <v>152</v>
      </c>
      <c r="H131" s="35" t="n">
        <v>4</v>
      </c>
      <c r="I131" s="34" t="s">
        <v>653</v>
      </c>
      <c r="J131" s="36" t="n">
        <v>46391</v>
      </c>
      <c r="K131" s="36" t="n">
        <v>46402</v>
      </c>
      <c r="L131" s="28" t="s">
        <v>67</v>
      </c>
      <c r="M131" s="29" t="n">
        <v>0</v>
      </c>
      <c r="N131" s="37" t="n">
        <f aca="false">H131*M131</f>
        <v>0</v>
      </c>
      <c r="O131" s="33" t="s">
        <v>669</v>
      </c>
    </row>
    <row r="132" customFormat="false" ht="26.85" hidden="false" customHeight="false" outlineLevel="0" collapsed="false">
      <c r="A132" s="22" t="s">
        <v>670</v>
      </c>
      <c r="B132" s="23" t="s">
        <v>671</v>
      </c>
      <c r="C132" s="25" t="s">
        <v>672</v>
      </c>
      <c r="D132" s="25" t="s">
        <v>673</v>
      </c>
      <c r="E132" s="24" t="s">
        <v>674</v>
      </c>
      <c r="F132" s="24" t="s">
        <v>675</v>
      </c>
      <c r="G132" s="23" t="s">
        <v>123</v>
      </c>
      <c r="H132" s="26" t="n">
        <v>8</v>
      </c>
      <c r="I132" s="25" t="s">
        <v>436</v>
      </c>
      <c r="J132" s="27" t="n">
        <v>46405</v>
      </c>
      <c r="K132" s="27" t="n">
        <v>46416</v>
      </c>
      <c r="L132" s="28" t="s">
        <v>67</v>
      </c>
      <c r="M132" s="29" t="n">
        <v>0</v>
      </c>
      <c r="N132" s="30" t="n">
        <f aca="false">H132*M132</f>
        <v>0</v>
      </c>
      <c r="O132" s="24" t="s">
        <v>676</v>
      </c>
    </row>
    <row r="133" customFormat="false" ht="26.85" hidden="false" customHeight="false" outlineLevel="0" collapsed="false">
      <c r="A133" s="22" t="s">
        <v>677</v>
      </c>
      <c r="B133" s="23" t="s">
        <v>671</v>
      </c>
      <c r="C133" s="25" t="s">
        <v>672</v>
      </c>
      <c r="D133" s="25" t="s">
        <v>673</v>
      </c>
      <c r="E133" s="25" t="s">
        <v>678</v>
      </c>
      <c r="F133" s="24" t="s">
        <v>679</v>
      </c>
      <c r="G133" s="23" t="s">
        <v>128</v>
      </c>
      <c r="H133" s="26" t="n">
        <v>4</v>
      </c>
      <c r="I133" s="25" t="s">
        <v>670</v>
      </c>
      <c r="J133" s="27" t="n">
        <v>46405</v>
      </c>
      <c r="K133" s="27" t="n">
        <v>46416</v>
      </c>
      <c r="L133" s="28" t="s">
        <v>67</v>
      </c>
      <c r="M133" s="29" t="n">
        <v>0</v>
      </c>
      <c r="N133" s="30" t="n">
        <f aca="false">H133*M133</f>
        <v>0</v>
      </c>
      <c r="O133" s="24" t="s">
        <v>680</v>
      </c>
    </row>
    <row r="134" customFormat="false" ht="26.85" hidden="false" customHeight="false" outlineLevel="0" collapsed="false">
      <c r="A134" s="22" t="s">
        <v>681</v>
      </c>
      <c r="B134" s="23" t="s">
        <v>671</v>
      </c>
      <c r="C134" s="25" t="s">
        <v>672</v>
      </c>
      <c r="D134" s="24" t="s">
        <v>33</v>
      </c>
      <c r="E134" s="24" t="s">
        <v>682</v>
      </c>
      <c r="F134" s="24" t="s">
        <v>683</v>
      </c>
      <c r="G134" s="23" t="s">
        <v>138</v>
      </c>
      <c r="H134" s="26" t="n">
        <v>6</v>
      </c>
      <c r="I134" s="25" t="s">
        <v>657</v>
      </c>
      <c r="J134" s="27" t="n">
        <v>46405</v>
      </c>
      <c r="K134" s="27" t="n">
        <v>46416</v>
      </c>
      <c r="L134" s="28" t="s">
        <v>67</v>
      </c>
      <c r="M134" s="29" t="n">
        <v>0</v>
      </c>
      <c r="N134" s="30" t="n">
        <f aca="false">H134*M134</f>
        <v>0</v>
      </c>
      <c r="O134" s="24" t="s">
        <v>684</v>
      </c>
    </row>
    <row r="135" customFormat="false" ht="26.85" hidden="false" customHeight="false" outlineLevel="0" collapsed="false">
      <c r="A135" s="22" t="s">
        <v>685</v>
      </c>
      <c r="B135" s="23" t="s">
        <v>671</v>
      </c>
      <c r="C135" s="25" t="s">
        <v>672</v>
      </c>
      <c r="D135" s="24" t="s">
        <v>528</v>
      </c>
      <c r="E135" s="24" t="s">
        <v>686</v>
      </c>
      <c r="F135" s="24" t="s">
        <v>687</v>
      </c>
      <c r="G135" s="23" t="s">
        <v>133</v>
      </c>
      <c r="H135" s="26" t="n">
        <v>1</v>
      </c>
      <c r="I135" s="25"/>
      <c r="J135" s="27" t="n">
        <v>46405</v>
      </c>
      <c r="K135" s="27" t="n">
        <v>46416</v>
      </c>
      <c r="L135" s="28" t="s">
        <v>67</v>
      </c>
      <c r="M135" s="29" t="n">
        <v>0</v>
      </c>
      <c r="N135" s="30" t="n">
        <f aca="false">H135*M135</f>
        <v>0</v>
      </c>
      <c r="O135" s="24" t="s">
        <v>688</v>
      </c>
    </row>
    <row r="136" customFormat="false" ht="26.85" hidden="false" customHeight="false" outlineLevel="0" collapsed="false">
      <c r="A136" s="22" t="s">
        <v>689</v>
      </c>
      <c r="B136" s="23" t="s">
        <v>671</v>
      </c>
      <c r="C136" s="25" t="s">
        <v>672</v>
      </c>
      <c r="D136" s="24" t="s">
        <v>149</v>
      </c>
      <c r="E136" s="24" t="s">
        <v>690</v>
      </c>
      <c r="F136" s="25" t="s">
        <v>691</v>
      </c>
      <c r="G136" s="23" t="s">
        <v>152</v>
      </c>
      <c r="H136" s="26" t="n">
        <v>5</v>
      </c>
      <c r="I136" s="25" t="s">
        <v>681</v>
      </c>
      <c r="J136" s="27" t="n">
        <v>46405</v>
      </c>
      <c r="K136" s="27" t="n">
        <v>46416</v>
      </c>
      <c r="L136" s="28" t="s">
        <v>67</v>
      </c>
      <c r="M136" s="29" t="n">
        <v>0</v>
      </c>
      <c r="N136" s="30" t="n">
        <f aca="false">H136*M136</f>
        <v>0</v>
      </c>
      <c r="O136" s="24" t="s">
        <v>692</v>
      </c>
    </row>
    <row r="137" customFormat="false" ht="26.85" hidden="false" customHeight="false" outlineLevel="0" collapsed="false">
      <c r="A137" s="22" t="s">
        <v>693</v>
      </c>
      <c r="B137" s="23" t="s">
        <v>671</v>
      </c>
      <c r="C137" s="25" t="s">
        <v>672</v>
      </c>
      <c r="D137" s="24" t="s">
        <v>464</v>
      </c>
      <c r="E137" s="24" t="s">
        <v>694</v>
      </c>
      <c r="F137" s="25" t="s">
        <v>695</v>
      </c>
      <c r="G137" s="23" t="s">
        <v>152</v>
      </c>
      <c r="H137" s="26" t="n">
        <v>3</v>
      </c>
      <c r="I137" s="25" t="s">
        <v>670</v>
      </c>
      <c r="J137" s="27" t="n">
        <v>46405</v>
      </c>
      <c r="K137" s="27" t="n">
        <v>46416</v>
      </c>
      <c r="L137" s="28" t="s">
        <v>67</v>
      </c>
      <c r="M137" s="29" t="n">
        <v>0</v>
      </c>
      <c r="N137" s="30" t="n">
        <f aca="false">H137*M137</f>
        <v>0</v>
      </c>
      <c r="O137" s="25" t="s">
        <v>696</v>
      </c>
    </row>
    <row r="138" customFormat="false" ht="26.85" hidden="false" customHeight="false" outlineLevel="0" collapsed="false">
      <c r="A138" s="22" t="s">
        <v>697</v>
      </c>
      <c r="B138" s="23" t="s">
        <v>671</v>
      </c>
      <c r="C138" s="25" t="s">
        <v>672</v>
      </c>
      <c r="D138" s="24" t="s">
        <v>99</v>
      </c>
      <c r="E138" s="24" t="s">
        <v>698</v>
      </c>
      <c r="F138" s="25" t="s">
        <v>699</v>
      </c>
      <c r="G138" s="23" t="s">
        <v>102</v>
      </c>
      <c r="H138" s="26" t="n">
        <v>3</v>
      </c>
      <c r="I138" s="25" t="s">
        <v>689</v>
      </c>
      <c r="J138" s="27" t="n">
        <v>46405</v>
      </c>
      <c r="K138" s="27" t="n">
        <v>46416</v>
      </c>
      <c r="L138" s="28" t="s">
        <v>67</v>
      </c>
      <c r="M138" s="29" t="n">
        <v>0</v>
      </c>
      <c r="N138" s="30" t="n">
        <f aca="false">H138*M138</f>
        <v>0</v>
      </c>
      <c r="O138" s="24" t="s">
        <v>700</v>
      </c>
    </row>
    <row r="139" customFormat="false" ht="15" hidden="false" customHeight="false" outlineLevel="0" collapsed="false">
      <c r="G139" s="38" t="s">
        <v>701</v>
      </c>
      <c r="H139" s="39" t="n">
        <f aca="false">SUM(H2:H138)</f>
        <v>494</v>
      </c>
      <c r="L139" s="38" t="s">
        <v>702</v>
      </c>
      <c r="M139" s="40" t="n">
        <f aca="false">IFERROR(N139/H139,0)</f>
        <v>0</v>
      </c>
      <c r="N139" s="39" t="n">
        <f aca="false">SUM(N2:N138)</f>
        <v>0</v>
      </c>
    </row>
  </sheetData>
  <autoFilter ref="A1:O138"/>
  <dataValidations count="2">
    <dataValidation allowBlank="true" error="請從下拉選單選擇" errorStyle="stop" operator="between" prompt="未開始 / 進行中 / 已完成 / 阻塞 / 已取消" promptTitle="狀態" showDropDown="false" showErrorMessage="false" showInputMessage="false" sqref="L2:L138" type="list">
      <formula1>"未開始,進行中,已完成,阻塞,已取消"</formula1>
      <formula2>0</formula2>
    </dataValidation>
    <dataValidation allowBlank="true" error="請輸入 0 到 1 之間的小數（0.3 = 30%）" errorStyle="stop" operator="between" showDropDown="false" showErrorMessage="false" showInputMessage="false" sqref="M2:M138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6" min="5" style="0" width="9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21.6" hidden="false" customHeight="false" outlineLevel="0" collapsed="false">
      <c r="A1" s="41" t="s">
        <v>703</v>
      </c>
    </row>
    <row r="3" customFormat="false" ht="15" hidden="false" customHeight="false" outlineLevel="0" collapsed="false">
      <c r="A3" s="20" t="s">
        <v>32</v>
      </c>
      <c r="B3" s="21" t="s">
        <v>50</v>
      </c>
      <c r="C3" s="21" t="s">
        <v>704</v>
      </c>
      <c r="D3" s="21" t="s">
        <v>705</v>
      </c>
      <c r="E3" s="21" t="s">
        <v>706</v>
      </c>
      <c r="F3" s="21" t="s">
        <v>707</v>
      </c>
      <c r="G3" s="21" t="s">
        <v>53</v>
      </c>
      <c r="H3" s="21" t="s">
        <v>708</v>
      </c>
      <c r="I3" s="21" t="s">
        <v>709</v>
      </c>
      <c r="J3" s="21" t="s">
        <v>710</v>
      </c>
    </row>
    <row r="4" customFormat="false" ht="15" hidden="false" customHeight="false" outlineLevel="0" collapsed="false">
      <c r="A4" s="42" t="s">
        <v>61</v>
      </c>
      <c r="B4" s="43" t="s">
        <v>62</v>
      </c>
      <c r="C4" s="44" t="n">
        <v>46237</v>
      </c>
      <c r="D4" s="44" t="n">
        <v>46248</v>
      </c>
      <c r="E4" s="45" t="n">
        <f aca="false">NETWORKDAYS(C4,D4)</f>
        <v>10</v>
      </c>
      <c r="F4" s="45" t="n">
        <f aca="false">COUNTIF(WBS!$B$2:$B$138,A4)</f>
        <v>9</v>
      </c>
      <c r="G4" s="46" t="n">
        <f aca="false">SUMIF(WBS!$B$2:$B$138,A4,WBS!$H$2:$H$138)</f>
        <v>21.5</v>
      </c>
      <c r="H4" s="46" t="n">
        <f aca="false">SUMIF(WBS!$B$2:$B$138,A4,WBS!$N$2:$N$138)</f>
        <v>0</v>
      </c>
      <c r="I4" s="47" t="n">
        <f aca="false">IFERROR(H4/G4,0)</f>
        <v>0</v>
      </c>
      <c r="J4" s="48" t="n">
        <f aca="false">IFERROR(G4/$G$17,0)</f>
        <v>0.0435222672064777</v>
      </c>
    </row>
    <row r="5" customFormat="false" ht="15" hidden="false" customHeight="false" outlineLevel="0" collapsed="false">
      <c r="A5" s="49" t="s">
        <v>105</v>
      </c>
      <c r="B5" s="50" t="s">
        <v>106</v>
      </c>
      <c r="C5" s="51" t="n">
        <v>46251</v>
      </c>
      <c r="D5" s="51" t="n">
        <v>46262</v>
      </c>
      <c r="E5" s="52" t="n">
        <f aca="false">NETWORKDAYS(C5,D5)</f>
        <v>10</v>
      </c>
      <c r="F5" s="52" t="n">
        <f aca="false">COUNTIF(WBS!$B$2:$B$138,A5)</f>
        <v>10</v>
      </c>
      <c r="G5" s="53" t="n">
        <f aca="false">SUMIF(WBS!$B$2:$B$138,A5,WBS!$H$2:$H$138)</f>
        <v>32</v>
      </c>
      <c r="H5" s="53" t="n">
        <f aca="false">SUMIF(WBS!$B$2:$B$138,A5,WBS!$N$2:$N$138)</f>
        <v>0</v>
      </c>
      <c r="I5" s="54" t="n">
        <f aca="false">IFERROR(H5/G5,0)</f>
        <v>0</v>
      </c>
      <c r="J5" s="55" t="n">
        <f aca="false">IFERROR(G5/$G$17,0)</f>
        <v>0.0647773279352227</v>
      </c>
    </row>
    <row r="6" customFormat="false" ht="15" hidden="false" customHeight="false" outlineLevel="0" collapsed="false">
      <c r="A6" s="42" t="s">
        <v>155</v>
      </c>
      <c r="B6" s="43" t="s">
        <v>711</v>
      </c>
      <c r="C6" s="44" t="n">
        <v>46265</v>
      </c>
      <c r="D6" s="44" t="n">
        <v>46276</v>
      </c>
      <c r="E6" s="45" t="n">
        <f aca="false">NETWORKDAYS(C6,D6)</f>
        <v>10</v>
      </c>
      <c r="F6" s="45" t="n">
        <f aca="false">COUNTIF(WBS!$B$2:$B$138,A6)</f>
        <v>12</v>
      </c>
      <c r="G6" s="46" t="n">
        <f aca="false">SUMIF(WBS!$B$2:$B$138,A6,WBS!$H$2:$H$138)</f>
        <v>48</v>
      </c>
      <c r="H6" s="46" t="n">
        <f aca="false">SUMIF(WBS!$B$2:$B$138,A6,WBS!$N$2:$N$138)</f>
        <v>0</v>
      </c>
      <c r="I6" s="47" t="n">
        <f aca="false">IFERROR(H6/G6,0)</f>
        <v>0</v>
      </c>
      <c r="J6" s="48" t="n">
        <f aca="false">IFERROR(G6/$G$17,0)</f>
        <v>0.097165991902834</v>
      </c>
    </row>
    <row r="7" customFormat="false" ht="15" hidden="false" customHeight="false" outlineLevel="0" collapsed="false">
      <c r="A7" s="49" t="s">
        <v>208</v>
      </c>
      <c r="B7" s="50" t="s">
        <v>712</v>
      </c>
      <c r="C7" s="51" t="n">
        <v>46279</v>
      </c>
      <c r="D7" s="51" t="n">
        <v>46290</v>
      </c>
      <c r="E7" s="52" t="n">
        <f aca="false">NETWORKDAYS(C7,D7)</f>
        <v>10</v>
      </c>
      <c r="F7" s="52" t="n">
        <f aca="false">COUNTIF(WBS!$B$2:$B$138,A7)</f>
        <v>11</v>
      </c>
      <c r="G7" s="53" t="n">
        <f aca="false">SUMIF(WBS!$B$2:$B$138,A7,WBS!$H$2:$H$138)</f>
        <v>42</v>
      </c>
      <c r="H7" s="53" t="n">
        <f aca="false">SUMIF(WBS!$B$2:$B$138,A7,WBS!$N$2:$N$138)</f>
        <v>0</v>
      </c>
      <c r="I7" s="54" t="n">
        <f aca="false">IFERROR(H7/G7,0)</f>
        <v>0</v>
      </c>
      <c r="J7" s="55" t="n">
        <f aca="false">IFERROR(G7/$G$17,0)</f>
        <v>0.0850202429149798</v>
      </c>
    </row>
    <row r="8" customFormat="false" ht="15" hidden="false" customHeight="false" outlineLevel="0" collapsed="false">
      <c r="A8" s="42" t="s">
        <v>40</v>
      </c>
      <c r="B8" s="43" t="s">
        <v>257</v>
      </c>
      <c r="C8" s="44" t="n">
        <v>46293</v>
      </c>
      <c r="D8" s="44" t="n">
        <v>46304</v>
      </c>
      <c r="E8" s="45" t="n">
        <f aca="false">NETWORKDAYS(C8,D8)</f>
        <v>10</v>
      </c>
      <c r="F8" s="45" t="n">
        <f aca="false">COUNTIF(WBS!$B$2:$B$138,A8)</f>
        <v>11</v>
      </c>
      <c r="G8" s="46" t="n">
        <f aca="false">SUMIF(WBS!$B$2:$B$138,A8,WBS!$H$2:$H$138)</f>
        <v>46</v>
      </c>
      <c r="H8" s="46" t="n">
        <f aca="false">SUMIF(WBS!$B$2:$B$138,A8,WBS!$N$2:$N$138)</f>
        <v>0</v>
      </c>
      <c r="I8" s="47" t="n">
        <f aca="false">IFERROR(H8/G8,0)</f>
        <v>0</v>
      </c>
      <c r="J8" s="48" t="n">
        <f aca="false">IFERROR(G8/$G$17,0)</f>
        <v>0.0931174089068826</v>
      </c>
    </row>
    <row r="9" customFormat="false" ht="15" hidden="false" customHeight="false" outlineLevel="0" collapsed="false">
      <c r="A9" s="49" t="s">
        <v>306</v>
      </c>
      <c r="B9" s="56" t="s">
        <v>713</v>
      </c>
      <c r="C9" s="51" t="n">
        <v>46307</v>
      </c>
      <c r="D9" s="51" t="n">
        <v>46318</v>
      </c>
      <c r="E9" s="52" t="n">
        <f aca="false">NETWORKDAYS(C9,D9)</f>
        <v>10</v>
      </c>
      <c r="F9" s="52" t="n">
        <f aca="false">COUNTIF(WBS!$B$2:$B$138,A9)</f>
        <v>10</v>
      </c>
      <c r="G9" s="53" t="n">
        <f aca="false">SUMIF(WBS!$B$2:$B$138,A9,WBS!$H$2:$H$138)</f>
        <v>35</v>
      </c>
      <c r="H9" s="53" t="n">
        <f aca="false">SUMIF(WBS!$B$2:$B$138,A9,WBS!$N$2:$N$138)</f>
        <v>0</v>
      </c>
      <c r="I9" s="54" t="n">
        <f aca="false">IFERROR(H9/G9,0)</f>
        <v>0</v>
      </c>
      <c r="J9" s="55" t="n">
        <f aca="false">IFERROR(G9/$G$17,0)</f>
        <v>0.0708502024291498</v>
      </c>
    </row>
    <row r="10" customFormat="false" ht="15" hidden="false" customHeight="false" outlineLevel="0" collapsed="false">
      <c r="A10" s="42" t="s">
        <v>351</v>
      </c>
      <c r="B10" s="43" t="s">
        <v>352</v>
      </c>
      <c r="C10" s="44" t="n">
        <v>46321</v>
      </c>
      <c r="D10" s="44" t="n">
        <v>46332</v>
      </c>
      <c r="E10" s="45" t="n">
        <f aca="false">NETWORKDAYS(C10,D10)</f>
        <v>10</v>
      </c>
      <c r="F10" s="45" t="n">
        <f aca="false">COUNTIF(WBS!$B$2:$B$138,A10)</f>
        <v>10</v>
      </c>
      <c r="G10" s="46" t="n">
        <f aca="false">SUMIF(WBS!$B$2:$B$138,A10,WBS!$H$2:$H$138)</f>
        <v>39.5</v>
      </c>
      <c r="H10" s="46" t="n">
        <f aca="false">SUMIF(WBS!$B$2:$B$138,A10,WBS!$N$2:$N$138)</f>
        <v>0</v>
      </c>
      <c r="I10" s="47" t="n">
        <f aca="false">IFERROR(H10/G10,0)</f>
        <v>0</v>
      </c>
      <c r="J10" s="48" t="n">
        <f aca="false">IFERROR(G10/$G$17,0)</f>
        <v>0.0799595141700405</v>
      </c>
    </row>
    <row r="11" customFormat="false" ht="15" hidden="false" customHeight="false" outlineLevel="0" collapsed="false">
      <c r="A11" s="49" t="s">
        <v>397</v>
      </c>
      <c r="B11" s="56" t="s">
        <v>714</v>
      </c>
      <c r="C11" s="51" t="n">
        <v>46335</v>
      </c>
      <c r="D11" s="51" t="n">
        <v>46346</v>
      </c>
      <c r="E11" s="52" t="n">
        <f aca="false">NETWORKDAYS(C11,D11)</f>
        <v>10</v>
      </c>
      <c r="F11" s="52" t="n">
        <f aca="false">COUNTIF(WBS!$B$2:$B$138,A11)</f>
        <v>12</v>
      </c>
      <c r="G11" s="53" t="n">
        <f aca="false">SUMIF(WBS!$B$2:$B$138,A11,WBS!$H$2:$H$138)</f>
        <v>44</v>
      </c>
      <c r="H11" s="53" t="n">
        <f aca="false">SUMIF(WBS!$B$2:$B$138,A11,WBS!$N$2:$N$138)</f>
        <v>0</v>
      </c>
      <c r="I11" s="54" t="n">
        <f aca="false">IFERROR(H11/G11,0)</f>
        <v>0</v>
      </c>
      <c r="J11" s="55" t="n">
        <f aca="false">IFERROR(G11/$G$17,0)</f>
        <v>0.0890688259109312</v>
      </c>
    </row>
    <row r="12" customFormat="false" ht="15" hidden="false" customHeight="false" outlineLevel="0" collapsed="false">
      <c r="A12" s="42" t="s">
        <v>453</v>
      </c>
      <c r="B12" s="43" t="s">
        <v>715</v>
      </c>
      <c r="C12" s="44" t="n">
        <v>46349</v>
      </c>
      <c r="D12" s="44" t="n">
        <v>46360</v>
      </c>
      <c r="E12" s="45" t="n">
        <f aca="false">NETWORKDAYS(C12,D12)</f>
        <v>10</v>
      </c>
      <c r="F12" s="45" t="n">
        <f aca="false">COUNTIF(WBS!$B$2:$B$138,A12)</f>
        <v>12</v>
      </c>
      <c r="G12" s="46" t="n">
        <f aca="false">SUMIF(WBS!$B$2:$B$138,A12,WBS!$H$2:$H$138)</f>
        <v>43.5</v>
      </c>
      <c r="H12" s="46" t="n">
        <f aca="false">SUMIF(WBS!$B$2:$B$138,A12,WBS!$N$2:$N$138)</f>
        <v>0</v>
      </c>
      <c r="I12" s="47" t="n">
        <f aca="false">IFERROR(H12/G12,0)</f>
        <v>0</v>
      </c>
      <c r="J12" s="48" t="n">
        <f aca="false">IFERROR(G12/$G$17,0)</f>
        <v>0.0880566801619433</v>
      </c>
    </row>
    <row r="13" customFormat="false" ht="15" hidden="false" customHeight="false" outlineLevel="0" collapsed="false">
      <c r="A13" s="49" t="s">
        <v>511</v>
      </c>
      <c r="B13" s="50" t="s">
        <v>716</v>
      </c>
      <c r="C13" s="51" t="n">
        <v>46363</v>
      </c>
      <c r="D13" s="51" t="n">
        <v>46374</v>
      </c>
      <c r="E13" s="52" t="n">
        <f aca="false">NETWORKDAYS(C13,D13)</f>
        <v>10</v>
      </c>
      <c r="F13" s="52" t="n">
        <f aca="false">COUNTIF(WBS!$B$2:$B$138,A13)</f>
        <v>15</v>
      </c>
      <c r="G13" s="53" t="n">
        <f aca="false">SUMIF(WBS!$B$2:$B$138,A13,WBS!$H$2:$H$138)</f>
        <v>36.5</v>
      </c>
      <c r="H13" s="53" t="n">
        <f aca="false">SUMIF(WBS!$B$2:$B$138,A13,WBS!$N$2:$N$138)</f>
        <v>0</v>
      </c>
      <c r="I13" s="54" t="n">
        <f aca="false">IFERROR(H13/G13,0)</f>
        <v>0</v>
      </c>
      <c r="J13" s="55" t="n">
        <f aca="false">IFERROR(G13/$G$17,0)</f>
        <v>0.0738866396761134</v>
      </c>
    </row>
    <row r="14" customFormat="false" ht="15" hidden="false" customHeight="false" outlineLevel="0" collapsed="false">
      <c r="A14" s="42" t="s">
        <v>584</v>
      </c>
      <c r="B14" s="43" t="s">
        <v>717</v>
      </c>
      <c r="C14" s="44" t="n">
        <v>46377</v>
      </c>
      <c r="D14" s="44" t="n">
        <v>46388</v>
      </c>
      <c r="E14" s="45" t="n">
        <f aca="false">NETWORKDAYS(C14,D14)</f>
        <v>10</v>
      </c>
      <c r="F14" s="45" t="n">
        <f aca="false">COUNTIF(WBS!$B$2:$B$138,A14)</f>
        <v>10</v>
      </c>
      <c r="G14" s="46" t="n">
        <f aca="false">SUMIF(WBS!$B$2:$B$138,A14,WBS!$H$2:$H$138)</f>
        <v>44.5</v>
      </c>
      <c r="H14" s="46" t="n">
        <f aca="false">SUMIF(WBS!$B$2:$B$138,A14,WBS!$N$2:$N$138)</f>
        <v>0</v>
      </c>
      <c r="I14" s="47" t="n">
        <f aca="false">IFERROR(H14/G14,0)</f>
        <v>0</v>
      </c>
      <c r="J14" s="48" t="n">
        <f aca="false">IFERROR(G14/$G$17,0)</f>
        <v>0.090080971659919</v>
      </c>
    </row>
    <row r="15" customFormat="false" ht="15" hidden="false" customHeight="false" outlineLevel="0" collapsed="false">
      <c r="A15" s="49" t="s">
        <v>636</v>
      </c>
      <c r="B15" s="50" t="s">
        <v>637</v>
      </c>
      <c r="C15" s="51" t="n">
        <v>46391</v>
      </c>
      <c r="D15" s="51" t="n">
        <v>46402</v>
      </c>
      <c r="E15" s="52" t="n">
        <f aca="false">NETWORKDAYS(C15,D15)</f>
        <v>10</v>
      </c>
      <c r="F15" s="52" t="n">
        <f aca="false">COUNTIF(WBS!$B$2:$B$138,A15)</f>
        <v>8</v>
      </c>
      <c r="G15" s="53" t="n">
        <f aca="false">SUMIF(WBS!$B$2:$B$138,A15,WBS!$H$2:$H$138)</f>
        <v>31.5</v>
      </c>
      <c r="H15" s="53" t="n">
        <f aca="false">SUMIF(WBS!$B$2:$B$138,A15,WBS!$N$2:$N$138)</f>
        <v>0</v>
      </c>
      <c r="I15" s="54" t="n">
        <f aca="false">IFERROR(H15/G15,0)</f>
        <v>0</v>
      </c>
      <c r="J15" s="55" t="n">
        <f aca="false">IFERROR(G15/$G$17,0)</f>
        <v>0.0637651821862348</v>
      </c>
    </row>
    <row r="16" customFormat="false" ht="15" hidden="false" customHeight="false" outlineLevel="0" collapsed="false">
      <c r="A16" s="42" t="s">
        <v>671</v>
      </c>
      <c r="B16" s="57" t="s">
        <v>718</v>
      </c>
      <c r="C16" s="44" t="n">
        <v>46405</v>
      </c>
      <c r="D16" s="44" t="n">
        <v>46416</v>
      </c>
      <c r="E16" s="45" t="n">
        <f aca="false">NETWORKDAYS(C16,D16)</f>
        <v>10</v>
      </c>
      <c r="F16" s="45" t="n">
        <f aca="false">COUNTIF(WBS!$B$2:$B$138,A16)</f>
        <v>7</v>
      </c>
      <c r="G16" s="46" t="n">
        <f aca="false">SUMIF(WBS!$B$2:$B$138,A16,WBS!$H$2:$H$138)</f>
        <v>30</v>
      </c>
      <c r="H16" s="46" t="n">
        <f aca="false">SUMIF(WBS!$B$2:$B$138,A16,WBS!$N$2:$N$138)</f>
        <v>0</v>
      </c>
      <c r="I16" s="47" t="n">
        <f aca="false">IFERROR(H16/G16,0)</f>
        <v>0</v>
      </c>
      <c r="J16" s="48" t="n">
        <f aca="false">IFERROR(G16/$G$17,0)</f>
        <v>0.0607287449392713</v>
      </c>
    </row>
    <row r="17" customFormat="false" ht="15" hidden="false" customHeight="false" outlineLevel="0" collapsed="false">
      <c r="A17" s="58"/>
      <c r="B17" s="59" t="s">
        <v>701</v>
      </c>
      <c r="C17" s="58"/>
      <c r="D17" s="58"/>
      <c r="E17" s="60" t="n">
        <f aca="false">SUM(E4:E16)</f>
        <v>130</v>
      </c>
      <c r="F17" s="60" t="n">
        <f aca="false">SUM(F4:F16)</f>
        <v>137</v>
      </c>
      <c r="G17" s="61" t="n">
        <f aca="false">SUM(G4:G16)</f>
        <v>494</v>
      </c>
      <c r="H17" s="61" t="n">
        <f aca="false">SUM(H4:H16)</f>
        <v>0</v>
      </c>
      <c r="I17" s="62" t="n">
        <f aca="false">IFERROR(H17/G17,0)</f>
        <v>0</v>
      </c>
      <c r="J17" s="58"/>
    </row>
    <row r="19" customFormat="false" ht="15" hidden="false" customHeight="false" outlineLevel="0" collapsed="false">
      <c r="A19" s="63" t="s">
        <v>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9"/>
    <col collapsed="false" customWidth="true" hidden="false" outlineLevel="0" max="18" min="15" style="0" width="11"/>
  </cols>
  <sheetData>
    <row r="1" customFormat="false" ht="21.6" hidden="false" customHeight="false" outlineLevel="0" collapsed="false">
      <c r="A1" s="64" t="s">
        <v>720</v>
      </c>
    </row>
    <row r="3" customFormat="false" ht="15" hidden="false" customHeight="false" outlineLevel="0" collapsed="false">
      <c r="A3" s="21" t="s">
        <v>721</v>
      </c>
      <c r="B3" s="20" t="s">
        <v>61</v>
      </c>
      <c r="C3" s="20" t="s">
        <v>105</v>
      </c>
      <c r="D3" s="20" t="s">
        <v>155</v>
      </c>
      <c r="E3" s="20" t="s">
        <v>208</v>
      </c>
      <c r="F3" s="20" t="s">
        <v>40</v>
      </c>
      <c r="G3" s="20" t="s">
        <v>306</v>
      </c>
      <c r="H3" s="20" t="s">
        <v>351</v>
      </c>
      <c r="I3" s="20" t="s">
        <v>397</v>
      </c>
      <c r="J3" s="20" t="s">
        <v>453</v>
      </c>
      <c r="K3" s="20" t="s">
        <v>511</v>
      </c>
      <c r="L3" s="20" t="s">
        <v>584</v>
      </c>
      <c r="M3" s="20" t="s">
        <v>636</v>
      </c>
      <c r="N3" s="20" t="s">
        <v>671</v>
      </c>
      <c r="O3" s="21" t="s">
        <v>701</v>
      </c>
      <c r="P3" s="21" t="s">
        <v>722</v>
      </c>
      <c r="Q3" s="21" t="s">
        <v>723</v>
      </c>
      <c r="R3" s="21" t="s">
        <v>724</v>
      </c>
    </row>
    <row r="4" customFormat="false" ht="15" hidden="false" customHeight="false" outlineLevel="0" collapsed="false">
      <c r="A4" s="65" t="s">
        <v>43</v>
      </c>
      <c r="B4" s="46" t="n">
        <f aca="false">SUMIFS(WBS!$H$2:$H$138,WBS!$G$2:$G$138,$A4,WBS!$B$2:$B$138,B$3)</f>
        <v>3</v>
      </c>
      <c r="C4" s="46" t="n">
        <f aca="false">SUMIFS(WBS!$H$2:$H$138,WBS!$G$2:$G$138,$A4,WBS!$B$2:$B$138,C$3)</f>
        <v>7</v>
      </c>
      <c r="D4" s="46" t="n">
        <f aca="false">SUMIFS(WBS!$H$2:$H$138,WBS!$G$2:$G$138,$A4,WBS!$B$2:$B$138,D$3)</f>
        <v>4</v>
      </c>
      <c r="E4" s="46" t="n">
        <f aca="false">SUMIFS(WBS!$H$2:$H$138,WBS!$G$2:$G$138,$A4,WBS!$B$2:$B$138,E$3)</f>
        <v>0</v>
      </c>
      <c r="F4" s="46" t="n">
        <f aca="false">SUMIFS(WBS!$H$2:$H$138,WBS!$G$2:$G$138,$A4,WBS!$B$2:$B$138,F$3)</f>
        <v>6</v>
      </c>
      <c r="G4" s="46" t="n">
        <f aca="false">SUMIFS(WBS!$H$2:$H$138,WBS!$G$2:$G$138,$A4,WBS!$B$2:$B$138,G$3)</f>
        <v>0</v>
      </c>
      <c r="H4" s="46" t="n">
        <f aca="false">SUMIFS(WBS!$H$2:$H$138,WBS!$G$2:$G$138,$A4,WBS!$B$2:$B$138,H$3)</f>
        <v>0</v>
      </c>
      <c r="I4" s="46" t="n">
        <f aca="false">SUMIFS(WBS!$H$2:$H$138,WBS!$G$2:$G$138,$A4,WBS!$B$2:$B$138,I$3)</f>
        <v>0</v>
      </c>
      <c r="J4" s="46" t="n">
        <f aca="false">SUMIFS(WBS!$H$2:$H$138,WBS!$G$2:$G$138,$A4,WBS!$B$2:$B$138,J$3)</f>
        <v>11</v>
      </c>
      <c r="K4" s="46" t="n">
        <f aca="false">SUMIFS(WBS!$H$2:$H$138,WBS!$G$2:$G$138,$A4,WBS!$B$2:$B$138,K$3)</f>
        <v>0</v>
      </c>
      <c r="L4" s="46" t="n">
        <f aca="false">SUMIFS(WBS!$H$2:$H$138,WBS!$G$2:$G$138,$A4,WBS!$B$2:$B$138,L$3)</f>
        <v>0</v>
      </c>
      <c r="M4" s="46" t="n">
        <f aca="false">SUMIFS(WBS!$H$2:$H$138,WBS!$G$2:$G$138,$A4,WBS!$B$2:$B$138,M$3)</f>
        <v>0</v>
      </c>
      <c r="N4" s="46" t="n">
        <f aca="false">SUMIFS(WBS!$H$2:$H$138,WBS!$G$2:$G$138,$A4,WBS!$B$2:$B$138,N$3)</f>
        <v>0</v>
      </c>
      <c r="O4" s="66" t="n">
        <f aca="false">SUM(B4:N4)</f>
        <v>31</v>
      </c>
      <c r="P4" s="48" t="n">
        <f aca="false">IFERROR(O4/$O$13,0)</f>
        <v>0.062753036437247</v>
      </c>
      <c r="Q4" s="67" t="n">
        <f aca="false">$B$15*'Sprint 摘要'!$E$17*$B$25</f>
        <v>110.5</v>
      </c>
      <c r="R4" s="68" t="n">
        <f aca="false">IFERROR(O4/Q4,0)</f>
        <v>0.280542986425339</v>
      </c>
    </row>
    <row r="5" customFormat="false" ht="15" hidden="false" customHeight="false" outlineLevel="0" collapsed="false">
      <c r="A5" s="65" t="s">
        <v>123</v>
      </c>
      <c r="B5" s="53" t="n">
        <f aca="false">SUMIFS(WBS!$H$2:$H$138,WBS!$G$2:$G$138,$A5,WBS!$B$2:$B$138,B$3)</f>
        <v>0</v>
      </c>
      <c r="C5" s="53" t="n">
        <f aca="false">SUMIFS(WBS!$H$2:$H$138,WBS!$G$2:$G$138,$A5,WBS!$B$2:$B$138,C$3)</f>
        <v>5</v>
      </c>
      <c r="D5" s="53" t="n">
        <f aca="false">SUMIFS(WBS!$H$2:$H$138,WBS!$G$2:$G$138,$A5,WBS!$B$2:$B$138,D$3)</f>
        <v>9</v>
      </c>
      <c r="E5" s="53" t="n">
        <f aca="false">SUMIFS(WBS!$H$2:$H$138,WBS!$G$2:$G$138,$A5,WBS!$B$2:$B$138,E$3)</f>
        <v>9</v>
      </c>
      <c r="F5" s="53" t="n">
        <f aca="false">SUMIFS(WBS!$H$2:$H$138,WBS!$G$2:$G$138,$A5,WBS!$B$2:$B$138,F$3)</f>
        <v>8.5</v>
      </c>
      <c r="G5" s="53" t="n">
        <f aca="false">SUMIFS(WBS!$H$2:$H$138,WBS!$G$2:$G$138,$A5,WBS!$B$2:$B$138,G$3)</f>
        <v>7.5</v>
      </c>
      <c r="H5" s="53" t="n">
        <f aca="false">SUMIFS(WBS!$H$2:$H$138,WBS!$G$2:$G$138,$A5,WBS!$B$2:$B$138,H$3)</f>
        <v>8</v>
      </c>
      <c r="I5" s="53" t="n">
        <f aca="false">SUMIFS(WBS!$H$2:$H$138,WBS!$G$2:$G$138,$A5,WBS!$B$2:$B$138,I$3)</f>
        <v>9</v>
      </c>
      <c r="J5" s="53" t="n">
        <f aca="false">SUMIFS(WBS!$H$2:$H$138,WBS!$G$2:$G$138,$A5,WBS!$B$2:$B$138,J$3)</f>
        <v>5</v>
      </c>
      <c r="K5" s="53" t="n">
        <f aca="false">SUMIFS(WBS!$H$2:$H$138,WBS!$G$2:$G$138,$A5,WBS!$B$2:$B$138,K$3)</f>
        <v>8</v>
      </c>
      <c r="L5" s="53" t="n">
        <f aca="false">SUMIFS(WBS!$H$2:$H$138,WBS!$G$2:$G$138,$A5,WBS!$B$2:$B$138,L$3)</f>
        <v>10</v>
      </c>
      <c r="M5" s="53" t="n">
        <f aca="false">SUMIFS(WBS!$H$2:$H$138,WBS!$G$2:$G$138,$A5,WBS!$B$2:$B$138,M$3)</f>
        <v>6</v>
      </c>
      <c r="N5" s="53" t="n">
        <f aca="false">SUMIFS(WBS!$H$2:$H$138,WBS!$G$2:$G$138,$A5,WBS!$B$2:$B$138,N$3)</f>
        <v>8</v>
      </c>
      <c r="O5" s="66" t="n">
        <f aca="false">SUM(B5:N5)</f>
        <v>93</v>
      </c>
      <c r="P5" s="48" t="n">
        <f aca="false">IFERROR(O5/$O$13,0)</f>
        <v>0.188259109311741</v>
      </c>
      <c r="Q5" s="67" t="n">
        <f aca="false">$B$16*'Sprint 摘要'!$E$17*$B$25</f>
        <v>110.5</v>
      </c>
      <c r="R5" s="68" t="n">
        <f aca="false">IFERROR(O5/Q5,0)</f>
        <v>0.841628959276018</v>
      </c>
    </row>
    <row r="6" customFormat="false" ht="15" hidden="false" customHeight="false" outlineLevel="0" collapsed="false">
      <c r="A6" s="65" t="s">
        <v>138</v>
      </c>
      <c r="B6" s="46" t="n">
        <f aca="false">SUMIFS(WBS!$H$2:$H$138,WBS!$G$2:$G$138,$A6,WBS!$B$2:$B$138,B$3)</f>
        <v>0</v>
      </c>
      <c r="C6" s="46" t="n">
        <f aca="false">SUMIFS(WBS!$H$2:$H$138,WBS!$G$2:$G$138,$A6,WBS!$B$2:$B$138,C$3)</f>
        <v>4</v>
      </c>
      <c r="D6" s="46" t="n">
        <f aca="false">SUMIFS(WBS!$H$2:$H$138,WBS!$G$2:$G$138,$A6,WBS!$B$2:$B$138,D$3)</f>
        <v>9</v>
      </c>
      <c r="E6" s="46" t="n">
        <f aca="false">SUMIFS(WBS!$H$2:$H$138,WBS!$G$2:$G$138,$A6,WBS!$B$2:$B$138,E$3)</f>
        <v>11</v>
      </c>
      <c r="F6" s="46" t="n">
        <f aca="false">SUMIFS(WBS!$H$2:$H$138,WBS!$G$2:$G$138,$A6,WBS!$B$2:$B$138,F$3)</f>
        <v>8</v>
      </c>
      <c r="G6" s="46" t="n">
        <f aca="false">SUMIFS(WBS!$H$2:$H$138,WBS!$G$2:$G$138,$A6,WBS!$B$2:$B$138,G$3)</f>
        <v>7.5</v>
      </c>
      <c r="H6" s="46" t="n">
        <f aca="false">SUMIFS(WBS!$H$2:$H$138,WBS!$G$2:$G$138,$A6,WBS!$B$2:$B$138,H$3)</f>
        <v>8</v>
      </c>
      <c r="I6" s="46" t="n">
        <f aca="false">SUMIFS(WBS!$H$2:$H$138,WBS!$G$2:$G$138,$A6,WBS!$B$2:$B$138,I$3)</f>
        <v>8</v>
      </c>
      <c r="J6" s="46" t="n">
        <f aca="false">SUMIFS(WBS!$H$2:$H$138,WBS!$G$2:$G$138,$A6,WBS!$B$2:$B$138,J$3)</f>
        <v>4</v>
      </c>
      <c r="K6" s="46" t="n">
        <f aca="false">SUMIFS(WBS!$H$2:$H$138,WBS!$G$2:$G$138,$A6,WBS!$B$2:$B$138,K$3)</f>
        <v>8.5</v>
      </c>
      <c r="L6" s="46" t="n">
        <f aca="false">SUMIFS(WBS!$H$2:$H$138,WBS!$G$2:$G$138,$A6,WBS!$B$2:$B$138,L$3)</f>
        <v>10</v>
      </c>
      <c r="M6" s="46" t="n">
        <f aca="false">SUMIFS(WBS!$H$2:$H$138,WBS!$G$2:$G$138,$A6,WBS!$B$2:$B$138,M$3)</f>
        <v>7.5</v>
      </c>
      <c r="N6" s="46" t="n">
        <f aca="false">SUMIFS(WBS!$H$2:$H$138,WBS!$G$2:$G$138,$A6,WBS!$B$2:$B$138,N$3)</f>
        <v>6</v>
      </c>
      <c r="O6" s="66" t="n">
        <f aca="false">SUM(B6:N6)</f>
        <v>91.5</v>
      </c>
      <c r="P6" s="48" t="n">
        <f aca="false">IFERROR(O6/$O$13,0)</f>
        <v>0.185222672064777</v>
      </c>
      <c r="Q6" s="67" t="n">
        <f aca="false">$B$17*'Sprint 摘要'!$E$17*$B$25</f>
        <v>110.5</v>
      </c>
      <c r="R6" s="68" t="n">
        <f aca="false">IFERROR(O6/Q6,0)</f>
        <v>0.828054298642534</v>
      </c>
    </row>
    <row r="7" customFormat="false" ht="15" hidden="false" customHeight="false" outlineLevel="0" collapsed="false">
      <c r="A7" s="65" t="s">
        <v>128</v>
      </c>
      <c r="B7" s="53" t="n">
        <f aca="false">SUMIFS(WBS!$H$2:$H$138,WBS!$G$2:$G$138,$A7,WBS!$B$2:$B$138,B$3)</f>
        <v>0</v>
      </c>
      <c r="C7" s="53" t="n">
        <f aca="false">SUMIFS(WBS!$H$2:$H$138,WBS!$G$2:$G$138,$A7,WBS!$B$2:$B$138,C$3)</f>
        <v>5.5</v>
      </c>
      <c r="D7" s="53" t="n">
        <f aca="false">SUMIFS(WBS!$H$2:$H$138,WBS!$G$2:$G$138,$A7,WBS!$B$2:$B$138,D$3)</f>
        <v>9</v>
      </c>
      <c r="E7" s="53" t="n">
        <f aca="false">SUMIFS(WBS!$H$2:$H$138,WBS!$G$2:$G$138,$A7,WBS!$B$2:$B$138,E$3)</f>
        <v>8</v>
      </c>
      <c r="F7" s="53" t="n">
        <f aca="false">SUMIFS(WBS!$H$2:$H$138,WBS!$G$2:$G$138,$A7,WBS!$B$2:$B$138,F$3)</f>
        <v>8</v>
      </c>
      <c r="G7" s="53" t="n">
        <f aca="false">SUMIFS(WBS!$H$2:$H$138,WBS!$G$2:$G$138,$A7,WBS!$B$2:$B$138,G$3)</f>
        <v>7</v>
      </c>
      <c r="H7" s="53" t="n">
        <f aca="false">SUMIFS(WBS!$H$2:$H$138,WBS!$G$2:$G$138,$A7,WBS!$B$2:$B$138,H$3)</f>
        <v>8</v>
      </c>
      <c r="I7" s="53" t="n">
        <f aca="false">SUMIFS(WBS!$H$2:$H$138,WBS!$G$2:$G$138,$A7,WBS!$B$2:$B$138,I$3)</f>
        <v>8</v>
      </c>
      <c r="J7" s="53" t="n">
        <f aca="false">SUMIFS(WBS!$H$2:$H$138,WBS!$G$2:$G$138,$A7,WBS!$B$2:$B$138,J$3)</f>
        <v>3</v>
      </c>
      <c r="K7" s="53" t="n">
        <f aca="false">SUMIFS(WBS!$H$2:$H$138,WBS!$G$2:$G$138,$A7,WBS!$B$2:$B$138,K$3)</f>
        <v>8</v>
      </c>
      <c r="L7" s="53" t="n">
        <f aca="false">SUMIFS(WBS!$H$2:$H$138,WBS!$G$2:$G$138,$A7,WBS!$B$2:$B$138,L$3)</f>
        <v>9</v>
      </c>
      <c r="M7" s="53" t="n">
        <f aca="false">SUMIFS(WBS!$H$2:$H$138,WBS!$G$2:$G$138,$A7,WBS!$B$2:$B$138,M$3)</f>
        <v>7</v>
      </c>
      <c r="N7" s="53" t="n">
        <f aca="false">SUMIFS(WBS!$H$2:$H$138,WBS!$G$2:$G$138,$A7,WBS!$B$2:$B$138,N$3)</f>
        <v>4</v>
      </c>
      <c r="O7" s="66" t="n">
        <f aca="false">SUM(B7:N7)</f>
        <v>84.5</v>
      </c>
      <c r="P7" s="48" t="n">
        <f aca="false">IFERROR(O7/$O$13,0)</f>
        <v>0.171052631578947</v>
      </c>
      <c r="Q7" s="67" t="n">
        <f aca="false">$B$18*'Sprint 摘要'!$E$17*$B$25</f>
        <v>110.5</v>
      </c>
      <c r="R7" s="68" t="n">
        <f aca="false">IFERROR(O7/Q7,0)</f>
        <v>0.764705882352941</v>
      </c>
    </row>
    <row r="8" customFormat="false" ht="15" hidden="false" customHeight="false" outlineLevel="0" collapsed="false">
      <c r="A8" s="65" t="s">
        <v>133</v>
      </c>
      <c r="B8" s="46" t="n">
        <f aca="false">SUMIFS(WBS!$H$2:$H$138,WBS!$G$2:$G$138,$A8,WBS!$B$2:$B$138,B$3)</f>
        <v>0</v>
      </c>
      <c r="C8" s="46" t="n">
        <f aca="false">SUMIFS(WBS!$H$2:$H$138,WBS!$G$2:$G$138,$A8,WBS!$B$2:$B$138,C$3)</f>
        <v>3</v>
      </c>
      <c r="D8" s="46" t="n">
        <f aca="false">SUMIFS(WBS!$H$2:$H$138,WBS!$G$2:$G$138,$A8,WBS!$B$2:$B$138,D$3)</f>
        <v>8</v>
      </c>
      <c r="E8" s="46" t="n">
        <f aca="false">SUMIFS(WBS!$H$2:$H$138,WBS!$G$2:$G$138,$A8,WBS!$B$2:$B$138,E$3)</f>
        <v>8</v>
      </c>
      <c r="F8" s="46" t="n">
        <f aca="false">SUMIFS(WBS!$H$2:$H$138,WBS!$G$2:$G$138,$A8,WBS!$B$2:$B$138,F$3)</f>
        <v>8</v>
      </c>
      <c r="G8" s="46" t="n">
        <f aca="false">SUMIFS(WBS!$H$2:$H$138,WBS!$G$2:$G$138,$A8,WBS!$B$2:$B$138,G$3)</f>
        <v>7</v>
      </c>
      <c r="H8" s="46" t="n">
        <f aca="false">SUMIFS(WBS!$H$2:$H$138,WBS!$G$2:$G$138,$A8,WBS!$B$2:$B$138,H$3)</f>
        <v>8</v>
      </c>
      <c r="I8" s="46" t="n">
        <f aca="false">SUMIFS(WBS!$H$2:$H$138,WBS!$G$2:$G$138,$A8,WBS!$B$2:$B$138,I$3)</f>
        <v>10</v>
      </c>
      <c r="J8" s="46" t="n">
        <f aca="false">SUMIFS(WBS!$H$2:$H$138,WBS!$G$2:$G$138,$A8,WBS!$B$2:$B$138,J$3)</f>
        <v>0</v>
      </c>
      <c r="K8" s="46" t="n">
        <f aca="false">SUMIFS(WBS!$H$2:$H$138,WBS!$G$2:$G$138,$A8,WBS!$B$2:$B$138,K$3)</f>
        <v>8.5</v>
      </c>
      <c r="L8" s="46" t="n">
        <f aca="false">SUMIFS(WBS!$H$2:$H$138,WBS!$G$2:$G$138,$A8,WBS!$B$2:$B$138,L$3)</f>
        <v>9</v>
      </c>
      <c r="M8" s="46" t="n">
        <f aca="false">SUMIFS(WBS!$H$2:$H$138,WBS!$G$2:$G$138,$A8,WBS!$B$2:$B$138,M$3)</f>
        <v>7</v>
      </c>
      <c r="N8" s="46" t="n">
        <f aca="false">SUMIFS(WBS!$H$2:$H$138,WBS!$G$2:$G$138,$A8,WBS!$B$2:$B$138,N$3)</f>
        <v>1</v>
      </c>
      <c r="O8" s="66" t="n">
        <f aca="false">SUM(B8:N8)</f>
        <v>77.5</v>
      </c>
      <c r="P8" s="48" t="n">
        <f aca="false">IFERROR(O8/$O$13,0)</f>
        <v>0.156882591093117</v>
      </c>
      <c r="Q8" s="67" t="n">
        <f aca="false">$B$19*'Sprint 摘要'!$E$17*$B$25</f>
        <v>110.5</v>
      </c>
      <c r="R8" s="68" t="n">
        <f aca="false">IFERROR(O8/Q8,0)</f>
        <v>0.701357466063348</v>
      </c>
    </row>
    <row r="9" customFormat="false" ht="15" hidden="false" customHeight="false" outlineLevel="0" collapsed="false">
      <c r="A9" s="65" t="s">
        <v>80</v>
      </c>
      <c r="B9" s="53" t="n">
        <f aca="false">SUMIFS(WBS!$H$2:$H$138,WBS!$G$2:$G$138,$A9,WBS!$B$2:$B$138,B$3)</f>
        <v>2</v>
      </c>
      <c r="C9" s="53" t="n">
        <f aca="false">SUMIFS(WBS!$H$2:$H$138,WBS!$G$2:$G$138,$A9,WBS!$B$2:$B$138,C$3)</f>
        <v>4.5</v>
      </c>
      <c r="D9" s="53" t="n">
        <f aca="false">SUMIFS(WBS!$H$2:$H$138,WBS!$G$2:$G$138,$A9,WBS!$B$2:$B$138,D$3)</f>
        <v>2</v>
      </c>
      <c r="E9" s="53" t="n">
        <f aca="false">SUMIFS(WBS!$H$2:$H$138,WBS!$G$2:$G$138,$A9,WBS!$B$2:$B$138,E$3)</f>
        <v>2</v>
      </c>
      <c r="F9" s="53" t="n">
        <f aca="false">SUMIFS(WBS!$H$2:$H$138,WBS!$G$2:$G$138,$A9,WBS!$B$2:$B$138,F$3)</f>
        <v>2.5</v>
      </c>
      <c r="G9" s="53" t="n">
        <f aca="false">SUMIFS(WBS!$H$2:$H$138,WBS!$G$2:$G$138,$A9,WBS!$B$2:$B$138,G$3)</f>
        <v>0</v>
      </c>
      <c r="H9" s="53" t="n">
        <f aca="false">SUMIFS(WBS!$H$2:$H$138,WBS!$G$2:$G$138,$A9,WBS!$B$2:$B$138,H$3)</f>
        <v>2.5</v>
      </c>
      <c r="I9" s="53" t="n">
        <f aca="false">SUMIFS(WBS!$H$2:$H$138,WBS!$G$2:$G$138,$A9,WBS!$B$2:$B$138,I$3)</f>
        <v>5</v>
      </c>
      <c r="J9" s="53" t="n">
        <f aca="false">SUMIFS(WBS!$H$2:$H$138,WBS!$G$2:$G$138,$A9,WBS!$B$2:$B$138,J$3)</f>
        <v>0</v>
      </c>
      <c r="K9" s="53" t="n">
        <f aca="false">SUMIFS(WBS!$H$2:$H$138,WBS!$G$2:$G$138,$A9,WBS!$B$2:$B$138,K$3)</f>
        <v>2</v>
      </c>
      <c r="L9" s="53" t="n">
        <f aca="false">SUMIFS(WBS!$H$2:$H$138,WBS!$G$2:$G$138,$A9,WBS!$B$2:$B$138,L$3)</f>
        <v>0</v>
      </c>
      <c r="M9" s="53" t="n">
        <f aca="false">SUMIFS(WBS!$H$2:$H$138,WBS!$G$2:$G$138,$A9,WBS!$B$2:$B$138,M$3)</f>
        <v>0</v>
      </c>
      <c r="N9" s="53" t="n">
        <f aca="false">SUMIFS(WBS!$H$2:$H$138,WBS!$G$2:$G$138,$A9,WBS!$B$2:$B$138,N$3)</f>
        <v>0</v>
      </c>
      <c r="O9" s="66" t="n">
        <f aca="false">SUM(B9:N9)</f>
        <v>22.5</v>
      </c>
      <c r="P9" s="48" t="n">
        <f aca="false">IFERROR(O9/$O$13,0)</f>
        <v>0.0455465587044534</v>
      </c>
      <c r="Q9" s="67" t="n">
        <f aca="false">$B$20*'Sprint 摘要'!$E$17*$B$25</f>
        <v>55.25</v>
      </c>
      <c r="R9" s="68" t="n">
        <f aca="false">IFERROR(O9/Q9,0)</f>
        <v>0.407239819004525</v>
      </c>
    </row>
    <row r="10" customFormat="false" ht="15" hidden="false" customHeight="false" outlineLevel="0" collapsed="false">
      <c r="A10" s="65" t="s">
        <v>66</v>
      </c>
      <c r="B10" s="46" t="n">
        <f aca="false">SUMIFS(WBS!$H$2:$H$138,WBS!$G$2:$G$138,$A10,WBS!$B$2:$B$138,B$3)</f>
        <v>14.5</v>
      </c>
      <c r="C10" s="46" t="n">
        <f aca="false">SUMIFS(WBS!$H$2:$H$138,WBS!$G$2:$G$138,$A10,WBS!$B$2:$B$138,C$3)</f>
        <v>0</v>
      </c>
      <c r="D10" s="46" t="n">
        <f aca="false">SUMIFS(WBS!$H$2:$H$138,WBS!$G$2:$G$138,$A10,WBS!$B$2:$B$138,D$3)</f>
        <v>3</v>
      </c>
      <c r="E10" s="46" t="n">
        <f aca="false">SUMIFS(WBS!$H$2:$H$138,WBS!$G$2:$G$138,$A10,WBS!$B$2:$B$138,E$3)</f>
        <v>0</v>
      </c>
      <c r="F10" s="46" t="n">
        <f aca="false">SUMIFS(WBS!$H$2:$H$138,WBS!$G$2:$G$138,$A10,WBS!$B$2:$B$138,F$3)</f>
        <v>0</v>
      </c>
      <c r="G10" s="46" t="n">
        <f aca="false">SUMIFS(WBS!$H$2:$H$138,WBS!$G$2:$G$138,$A10,WBS!$B$2:$B$138,G$3)</f>
        <v>0</v>
      </c>
      <c r="H10" s="46" t="n">
        <f aca="false">SUMIFS(WBS!$H$2:$H$138,WBS!$G$2:$G$138,$A10,WBS!$B$2:$B$138,H$3)</f>
        <v>0</v>
      </c>
      <c r="I10" s="46" t="n">
        <f aca="false">SUMIFS(WBS!$H$2:$H$138,WBS!$G$2:$G$138,$A10,WBS!$B$2:$B$138,I$3)</f>
        <v>0</v>
      </c>
      <c r="J10" s="46" t="n">
        <f aca="false">SUMIFS(WBS!$H$2:$H$138,WBS!$G$2:$G$138,$A10,WBS!$B$2:$B$138,J$3)</f>
        <v>12.5</v>
      </c>
      <c r="K10" s="46" t="n">
        <f aca="false">SUMIFS(WBS!$H$2:$H$138,WBS!$G$2:$G$138,$A10,WBS!$B$2:$B$138,K$3)</f>
        <v>0</v>
      </c>
      <c r="L10" s="46" t="n">
        <f aca="false">SUMIFS(WBS!$H$2:$H$138,WBS!$G$2:$G$138,$A10,WBS!$B$2:$B$138,L$3)</f>
        <v>0</v>
      </c>
      <c r="M10" s="46" t="n">
        <f aca="false">SUMIFS(WBS!$H$2:$H$138,WBS!$G$2:$G$138,$A10,WBS!$B$2:$B$138,M$3)</f>
        <v>0</v>
      </c>
      <c r="N10" s="46" t="n">
        <f aca="false">SUMIFS(WBS!$H$2:$H$138,WBS!$G$2:$G$138,$A10,WBS!$B$2:$B$138,N$3)</f>
        <v>0</v>
      </c>
      <c r="O10" s="66" t="n">
        <f aca="false">SUM(B10:N10)</f>
        <v>30</v>
      </c>
      <c r="P10" s="48" t="n">
        <f aca="false">IFERROR(O10/$O$13,0)</f>
        <v>0.0607287449392713</v>
      </c>
      <c r="Q10" s="67" t="n">
        <f aca="false">$B$21*'Sprint 摘要'!$E$17*$B$25</f>
        <v>66.3</v>
      </c>
      <c r="R10" s="68" t="n">
        <f aca="false">IFERROR(O10/Q10,0)</f>
        <v>0.452488687782805</v>
      </c>
    </row>
    <row r="11" customFormat="false" ht="15" hidden="false" customHeight="false" outlineLevel="0" collapsed="false">
      <c r="A11" s="65" t="s">
        <v>152</v>
      </c>
      <c r="B11" s="53" t="n">
        <f aca="false">SUMIFS(WBS!$H$2:$H$138,WBS!$G$2:$G$138,$A11,WBS!$B$2:$B$138,B$3)</f>
        <v>0</v>
      </c>
      <c r="C11" s="53" t="n">
        <f aca="false">SUMIFS(WBS!$H$2:$H$138,WBS!$G$2:$G$138,$A11,WBS!$B$2:$B$138,C$3)</f>
        <v>3</v>
      </c>
      <c r="D11" s="53" t="n">
        <f aca="false">SUMIFS(WBS!$H$2:$H$138,WBS!$G$2:$G$138,$A11,WBS!$B$2:$B$138,D$3)</f>
        <v>4</v>
      </c>
      <c r="E11" s="53" t="n">
        <f aca="false">SUMIFS(WBS!$H$2:$H$138,WBS!$G$2:$G$138,$A11,WBS!$B$2:$B$138,E$3)</f>
        <v>4</v>
      </c>
      <c r="F11" s="53" t="n">
        <f aca="false">SUMIFS(WBS!$H$2:$H$138,WBS!$G$2:$G$138,$A11,WBS!$B$2:$B$138,F$3)</f>
        <v>5</v>
      </c>
      <c r="G11" s="53" t="n">
        <f aca="false">SUMIFS(WBS!$H$2:$H$138,WBS!$G$2:$G$138,$A11,WBS!$B$2:$B$138,G$3)</f>
        <v>4</v>
      </c>
      <c r="H11" s="53" t="n">
        <f aca="false">SUMIFS(WBS!$H$2:$H$138,WBS!$G$2:$G$138,$A11,WBS!$B$2:$B$138,H$3)</f>
        <v>5</v>
      </c>
      <c r="I11" s="53" t="n">
        <f aca="false">SUMIFS(WBS!$H$2:$H$138,WBS!$G$2:$G$138,$A11,WBS!$B$2:$B$138,I$3)</f>
        <v>4</v>
      </c>
      <c r="J11" s="53" t="n">
        <f aca="false">SUMIFS(WBS!$H$2:$H$138,WBS!$G$2:$G$138,$A11,WBS!$B$2:$B$138,J$3)</f>
        <v>5</v>
      </c>
      <c r="K11" s="53" t="n">
        <f aca="false">SUMIFS(WBS!$H$2:$H$138,WBS!$G$2:$G$138,$A11,WBS!$B$2:$B$138,K$3)</f>
        <v>1.5</v>
      </c>
      <c r="L11" s="53" t="n">
        <f aca="false">SUMIFS(WBS!$H$2:$H$138,WBS!$G$2:$G$138,$A11,WBS!$B$2:$B$138,L$3)</f>
        <v>4</v>
      </c>
      <c r="M11" s="53" t="n">
        <f aca="false">SUMIFS(WBS!$H$2:$H$138,WBS!$G$2:$G$138,$A11,WBS!$B$2:$B$138,M$3)</f>
        <v>4</v>
      </c>
      <c r="N11" s="53" t="n">
        <f aca="false">SUMIFS(WBS!$H$2:$H$138,WBS!$G$2:$G$138,$A11,WBS!$B$2:$B$138,N$3)</f>
        <v>8</v>
      </c>
      <c r="O11" s="66" t="n">
        <f aca="false">SUM(B11:N11)</f>
        <v>51.5</v>
      </c>
      <c r="P11" s="48" t="n">
        <f aca="false">IFERROR(O11/$O$13,0)</f>
        <v>0.104251012145749</v>
      </c>
      <c r="Q11" s="67" t="n">
        <f aca="false">$B$22*'Sprint 摘要'!$E$17*$B$25</f>
        <v>88.4</v>
      </c>
      <c r="R11" s="68" t="n">
        <f aca="false">IFERROR(O11/Q11,0)</f>
        <v>0.582579185520362</v>
      </c>
    </row>
    <row r="12" customFormat="false" ht="15" hidden="false" customHeight="false" outlineLevel="0" collapsed="false">
      <c r="A12" s="65" t="s">
        <v>102</v>
      </c>
      <c r="B12" s="46" t="n">
        <f aca="false">SUMIFS(WBS!$H$2:$H$138,WBS!$G$2:$G$138,$A12,WBS!$B$2:$B$138,B$3)</f>
        <v>2</v>
      </c>
      <c r="C12" s="46" t="n">
        <f aca="false">SUMIFS(WBS!$H$2:$H$138,WBS!$G$2:$G$138,$A12,WBS!$B$2:$B$138,C$3)</f>
        <v>0</v>
      </c>
      <c r="D12" s="46" t="n">
        <f aca="false">SUMIFS(WBS!$H$2:$H$138,WBS!$G$2:$G$138,$A12,WBS!$B$2:$B$138,D$3)</f>
        <v>0</v>
      </c>
      <c r="E12" s="46" t="n">
        <f aca="false">SUMIFS(WBS!$H$2:$H$138,WBS!$G$2:$G$138,$A12,WBS!$B$2:$B$138,E$3)</f>
        <v>0</v>
      </c>
      <c r="F12" s="46" t="n">
        <f aca="false">SUMIFS(WBS!$H$2:$H$138,WBS!$G$2:$G$138,$A12,WBS!$B$2:$B$138,F$3)</f>
        <v>0</v>
      </c>
      <c r="G12" s="46" t="n">
        <f aca="false">SUMIFS(WBS!$H$2:$H$138,WBS!$G$2:$G$138,$A12,WBS!$B$2:$B$138,G$3)</f>
        <v>2</v>
      </c>
      <c r="H12" s="46" t="n">
        <f aca="false">SUMIFS(WBS!$H$2:$H$138,WBS!$G$2:$G$138,$A12,WBS!$B$2:$B$138,H$3)</f>
        <v>0</v>
      </c>
      <c r="I12" s="46" t="n">
        <f aca="false">SUMIFS(WBS!$H$2:$H$138,WBS!$G$2:$G$138,$A12,WBS!$B$2:$B$138,I$3)</f>
        <v>0</v>
      </c>
      <c r="J12" s="46" t="n">
        <f aca="false">SUMIFS(WBS!$H$2:$H$138,WBS!$G$2:$G$138,$A12,WBS!$B$2:$B$138,J$3)</f>
        <v>3</v>
      </c>
      <c r="K12" s="46" t="n">
        <f aca="false">SUMIFS(WBS!$H$2:$H$138,WBS!$G$2:$G$138,$A12,WBS!$B$2:$B$138,K$3)</f>
        <v>0</v>
      </c>
      <c r="L12" s="46" t="n">
        <f aca="false">SUMIFS(WBS!$H$2:$H$138,WBS!$G$2:$G$138,$A12,WBS!$B$2:$B$138,L$3)</f>
        <v>2.5</v>
      </c>
      <c r="M12" s="46" t="n">
        <f aca="false">SUMIFS(WBS!$H$2:$H$138,WBS!$G$2:$G$138,$A12,WBS!$B$2:$B$138,M$3)</f>
        <v>0</v>
      </c>
      <c r="N12" s="46" t="n">
        <f aca="false">SUMIFS(WBS!$H$2:$H$138,WBS!$G$2:$G$138,$A12,WBS!$B$2:$B$138,N$3)</f>
        <v>3</v>
      </c>
      <c r="O12" s="66" t="n">
        <f aca="false">SUM(B12:N12)</f>
        <v>12.5</v>
      </c>
      <c r="P12" s="48" t="n">
        <f aca="false">IFERROR(O12/$O$13,0)</f>
        <v>0.0253036437246964</v>
      </c>
      <c r="Q12" s="67" t="n">
        <f aca="false">$B$23*'Sprint 摘要'!$E$17*$B$25</f>
        <v>33.15</v>
      </c>
      <c r="R12" s="68" t="n">
        <f aca="false">IFERROR(O12/Q12,0)</f>
        <v>0.377073906485671</v>
      </c>
    </row>
    <row r="13" customFormat="false" ht="15" hidden="false" customHeight="false" outlineLevel="0" collapsed="false">
      <c r="A13" s="59" t="s">
        <v>701</v>
      </c>
      <c r="B13" s="61" t="n">
        <f aca="false">SUM(B4:B12)</f>
        <v>21.5</v>
      </c>
      <c r="C13" s="61" t="n">
        <f aca="false">SUM(C4:C12)</f>
        <v>32</v>
      </c>
      <c r="D13" s="61" t="n">
        <f aca="false">SUM(D4:D12)</f>
        <v>48</v>
      </c>
      <c r="E13" s="61" t="n">
        <f aca="false">SUM(E4:E12)</f>
        <v>42</v>
      </c>
      <c r="F13" s="61" t="n">
        <f aca="false">SUM(F4:F12)</f>
        <v>46</v>
      </c>
      <c r="G13" s="61" t="n">
        <f aca="false">SUM(G4:G12)</f>
        <v>35</v>
      </c>
      <c r="H13" s="61" t="n">
        <f aca="false">SUM(H4:H12)</f>
        <v>39.5</v>
      </c>
      <c r="I13" s="61" t="n">
        <f aca="false">SUM(I4:I12)</f>
        <v>44</v>
      </c>
      <c r="J13" s="61" t="n">
        <f aca="false">SUM(J4:J12)</f>
        <v>43.5</v>
      </c>
      <c r="K13" s="61" t="n">
        <f aca="false">SUM(K4:K12)</f>
        <v>36.5</v>
      </c>
      <c r="L13" s="61" t="n">
        <f aca="false">SUM(L4:L12)</f>
        <v>44.5</v>
      </c>
      <c r="M13" s="61" t="n">
        <f aca="false">SUM(M4:M12)</f>
        <v>31.5</v>
      </c>
      <c r="N13" s="61" t="n">
        <f aca="false">SUM(N4:N12)</f>
        <v>30</v>
      </c>
      <c r="O13" s="61" t="n">
        <f aca="false">SUM(O4:O12)</f>
        <v>494</v>
      </c>
    </row>
    <row r="14" customFormat="false" ht="17.15" hidden="false" customHeight="false" outlineLevel="0" collapsed="false">
      <c r="A14" s="15" t="s">
        <v>725</v>
      </c>
    </row>
    <row r="15" customFormat="false" ht="15" hidden="false" customHeight="false" outlineLevel="0" collapsed="false">
      <c r="A15" s="69" t="s">
        <v>43</v>
      </c>
      <c r="B15" s="70" t="n">
        <v>1</v>
      </c>
      <c r="C15" s="71" t="s">
        <v>726</v>
      </c>
    </row>
    <row r="16" customFormat="false" ht="15" hidden="false" customHeight="false" outlineLevel="0" collapsed="false">
      <c r="A16" s="69" t="s">
        <v>123</v>
      </c>
      <c r="B16" s="70" t="n">
        <v>1</v>
      </c>
      <c r="C16" s="71" t="s">
        <v>726</v>
      </c>
    </row>
    <row r="17" customFormat="false" ht="15" hidden="false" customHeight="false" outlineLevel="0" collapsed="false">
      <c r="A17" s="69" t="s">
        <v>138</v>
      </c>
      <c r="B17" s="70" t="n">
        <v>1</v>
      </c>
      <c r="C17" s="71" t="s">
        <v>726</v>
      </c>
    </row>
    <row r="18" customFormat="false" ht="15" hidden="false" customHeight="false" outlineLevel="0" collapsed="false">
      <c r="A18" s="69" t="s">
        <v>128</v>
      </c>
      <c r="B18" s="70" t="n">
        <v>1</v>
      </c>
      <c r="C18" s="71" t="s">
        <v>726</v>
      </c>
    </row>
    <row r="19" customFormat="false" ht="15" hidden="false" customHeight="false" outlineLevel="0" collapsed="false">
      <c r="A19" s="69" t="s">
        <v>133</v>
      </c>
      <c r="B19" s="70" t="n">
        <v>1</v>
      </c>
      <c r="C19" s="71" t="s">
        <v>726</v>
      </c>
    </row>
    <row r="20" customFormat="false" ht="15" hidden="false" customHeight="false" outlineLevel="0" collapsed="false">
      <c r="A20" s="69" t="s">
        <v>80</v>
      </c>
      <c r="B20" s="70" t="n">
        <v>0.5</v>
      </c>
      <c r="C20" s="71" t="s">
        <v>726</v>
      </c>
    </row>
    <row r="21" customFormat="false" ht="15" hidden="false" customHeight="false" outlineLevel="0" collapsed="false">
      <c r="A21" s="69" t="s">
        <v>66</v>
      </c>
      <c r="B21" s="70" t="n">
        <v>0.6</v>
      </c>
      <c r="C21" s="71" t="s">
        <v>726</v>
      </c>
    </row>
    <row r="22" customFormat="false" ht="15" hidden="false" customHeight="false" outlineLevel="0" collapsed="false">
      <c r="A22" s="69" t="s">
        <v>152</v>
      </c>
      <c r="B22" s="70" t="n">
        <v>0.8</v>
      </c>
      <c r="C22" s="71" t="s">
        <v>726</v>
      </c>
    </row>
    <row r="23" customFormat="false" ht="15" hidden="false" customHeight="false" outlineLevel="0" collapsed="false">
      <c r="A23" s="69" t="s">
        <v>102</v>
      </c>
      <c r="B23" s="70" t="n">
        <v>0.3</v>
      </c>
      <c r="C23" s="71" t="s">
        <v>726</v>
      </c>
    </row>
    <row r="24" customFormat="false" ht="15" hidden="false" customHeight="false" outlineLevel="0" collapsed="false">
      <c r="A24" s="3" t="s">
        <v>727</v>
      </c>
      <c r="B24" s="66" t="n">
        <f aca="false">SUM(B15:B23)</f>
        <v>7.2</v>
      </c>
    </row>
    <row r="25" customFormat="false" ht="15" hidden="false" customHeight="false" outlineLevel="0" collapsed="false">
      <c r="A25" s="3" t="s">
        <v>728</v>
      </c>
      <c r="B25" s="72" t="n">
        <v>0.85</v>
      </c>
      <c r="C25" s="73" t="s">
        <v>729</v>
      </c>
    </row>
    <row r="27" customFormat="false" ht="15" hidden="false" customHeight="false" outlineLevel="0" collapsed="false">
      <c r="A27" s="63" t="s">
        <v>730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62"/>
    <col collapsed="false" customWidth="true" hidden="false" outlineLevel="0" max="6" min="6" style="0" width="16"/>
    <col collapsed="false" customWidth="true" hidden="false" outlineLevel="0" max="7" min="7" style="0" width="11"/>
  </cols>
  <sheetData>
    <row r="1" customFormat="false" ht="21.6" hidden="false" customHeight="false" outlineLevel="0" collapsed="false">
      <c r="A1" s="64" t="s">
        <v>731</v>
      </c>
    </row>
    <row r="3" customFormat="false" ht="15" hidden="false" customHeight="false" outlineLevel="0" collapsed="false">
      <c r="A3" s="21" t="s">
        <v>16</v>
      </c>
      <c r="B3" s="21" t="s">
        <v>732</v>
      </c>
      <c r="C3" s="21" t="s">
        <v>733</v>
      </c>
      <c r="D3" s="21" t="s">
        <v>734</v>
      </c>
      <c r="E3" s="21" t="s">
        <v>735</v>
      </c>
      <c r="F3" s="21" t="s">
        <v>736</v>
      </c>
      <c r="G3" s="21" t="s">
        <v>37</v>
      </c>
    </row>
    <row r="4" customFormat="false" ht="29.85" hidden="false" customHeight="false" outlineLevel="0" collapsed="false">
      <c r="A4" s="42" t="s">
        <v>737</v>
      </c>
      <c r="B4" s="43" t="s">
        <v>738</v>
      </c>
      <c r="C4" s="44" t="n">
        <v>46248</v>
      </c>
      <c r="D4" s="74" t="s">
        <v>61</v>
      </c>
      <c r="E4" s="57" t="s">
        <v>739</v>
      </c>
      <c r="F4" s="57" t="s">
        <v>740</v>
      </c>
      <c r="G4" s="75" t="s">
        <v>67</v>
      </c>
    </row>
    <row r="5" customFormat="false" ht="29.85" hidden="false" customHeight="false" outlineLevel="0" collapsed="false">
      <c r="A5" s="49" t="s">
        <v>741</v>
      </c>
      <c r="B5" s="50" t="s">
        <v>742</v>
      </c>
      <c r="C5" s="51" t="n">
        <v>46262</v>
      </c>
      <c r="D5" s="76" t="s">
        <v>105</v>
      </c>
      <c r="E5" s="56" t="s">
        <v>743</v>
      </c>
      <c r="F5" s="56" t="s">
        <v>744</v>
      </c>
      <c r="G5" s="75" t="s">
        <v>67</v>
      </c>
    </row>
    <row r="6" customFormat="false" ht="29.85" hidden="false" customHeight="false" outlineLevel="0" collapsed="false">
      <c r="A6" s="42" t="s">
        <v>745</v>
      </c>
      <c r="B6" s="43" t="s">
        <v>746</v>
      </c>
      <c r="C6" s="44" t="n">
        <v>46276</v>
      </c>
      <c r="D6" s="74" t="s">
        <v>155</v>
      </c>
      <c r="E6" s="57" t="s">
        <v>747</v>
      </c>
      <c r="F6" s="57" t="s">
        <v>748</v>
      </c>
      <c r="G6" s="75" t="s">
        <v>67</v>
      </c>
    </row>
    <row r="7" customFormat="false" ht="29.85" hidden="false" customHeight="false" outlineLevel="0" collapsed="false">
      <c r="A7" s="49" t="s">
        <v>749</v>
      </c>
      <c r="B7" s="50" t="s">
        <v>750</v>
      </c>
      <c r="C7" s="51" t="n">
        <v>46290</v>
      </c>
      <c r="D7" s="76" t="s">
        <v>208</v>
      </c>
      <c r="E7" s="56" t="s">
        <v>751</v>
      </c>
      <c r="F7" s="56" t="s">
        <v>752</v>
      </c>
      <c r="G7" s="75" t="s">
        <v>67</v>
      </c>
    </row>
    <row r="8" customFormat="false" ht="29.85" hidden="false" customHeight="false" outlineLevel="0" collapsed="false">
      <c r="A8" s="42" t="s">
        <v>753</v>
      </c>
      <c r="B8" s="43" t="s">
        <v>754</v>
      </c>
      <c r="C8" s="44" t="n">
        <v>46304</v>
      </c>
      <c r="D8" s="74" t="s">
        <v>40</v>
      </c>
      <c r="E8" s="57" t="s">
        <v>755</v>
      </c>
      <c r="F8" s="57" t="s">
        <v>756</v>
      </c>
      <c r="G8" s="75" t="s">
        <v>67</v>
      </c>
    </row>
    <row r="9" customFormat="false" ht="29.85" hidden="false" customHeight="false" outlineLevel="0" collapsed="false">
      <c r="A9" s="49" t="s">
        <v>757</v>
      </c>
      <c r="B9" s="56" t="s">
        <v>758</v>
      </c>
      <c r="C9" s="51" t="n">
        <v>46318</v>
      </c>
      <c r="D9" s="76" t="s">
        <v>306</v>
      </c>
      <c r="E9" s="50" t="s">
        <v>759</v>
      </c>
      <c r="F9" s="56" t="s">
        <v>760</v>
      </c>
      <c r="G9" s="75" t="s">
        <v>67</v>
      </c>
    </row>
    <row r="10" customFormat="false" ht="29.85" hidden="false" customHeight="false" outlineLevel="0" collapsed="false">
      <c r="A10" s="42" t="s">
        <v>761</v>
      </c>
      <c r="B10" s="43" t="s">
        <v>762</v>
      </c>
      <c r="C10" s="44" t="n">
        <v>46332</v>
      </c>
      <c r="D10" s="74" t="s">
        <v>351</v>
      </c>
      <c r="E10" s="57" t="s">
        <v>763</v>
      </c>
      <c r="F10" s="57" t="s">
        <v>764</v>
      </c>
      <c r="G10" s="75" t="s">
        <v>67</v>
      </c>
    </row>
    <row r="11" customFormat="false" ht="44" hidden="false" customHeight="false" outlineLevel="0" collapsed="false">
      <c r="A11" s="49" t="s">
        <v>765</v>
      </c>
      <c r="B11" s="50" t="s">
        <v>766</v>
      </c>
      <c r="C11" s="51" t="n">
        <v>46360</v>
      </c>
      <c r="D11" s="76" t="s">
        <v>767</v>
      </c>
      <c r="E11" s="56" t="s">
        <v>768</v>
      </c>
      <c r="F11" s="56" t="s">
        <v>769</v>
      </c>
      <c r="G11" s="75" t="s">
        <v>67</v>
      </c>
    </row>
    <row r="12" customFormat="false" ht="44" hidden="false" customHeight="false" outlineLevel="0" collapsed="false">
      <c r="A12" s="42" t="s">
        <v>770</v>
      </c>
      <c r="B12" s="57" t="s">
        <v>771</v>
      </c>
      <c r="C12" s="44" t="n">
        <v>46388</v>
      </c>
      <c r="D12" s="74" t="s">
        <v>772</v>
      </c>
      <c r="E12" s="57" t="s">
        <v>773</v>
      </c>
      <c r="F12" s="57" t="s">
        <v>774</v>
      </c>
      <c r="G12" s="75" t="s">
        <v>67</v>
      </c>
    </row>
    <row r="13" customFormat="false" ht="44" hidden="false" customHeight="false" outlineLevel="0" collapsed="false">
      <c r="A13" s="49" t="s">
        <v>775</v>
      </c>
      <c r="B13" s="50" t="s">
        <v>776</v>
      </c>
      <c r="C13" s="51" t="n">
        <v>46416</v>
      </c>
      <c r="D13" s="76" t="s">
        <v>777</v>
      </c>
      <c r="E13" s="50" t="s">
        <v>778</v>
      </c>
      <c r="F13" s="56" t="s">
        <v>779</v>
      </c>
      <c r="G13" s="75" t="s">
        <v>67</v>
      </c>
    </row>
  </sheetData>
  <dataValidations count="1">
    <dataValidation allowBlank="true" errorStyle="stop" operator="between" showDropDown="false" showErrorMessage="false" showInputMessage="false" sqref="G4:G13" type="list">
      <formula1>"未開始,進行中,已通過,未通過"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12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64" t="s">
        <v>780</v>
      </c>
    </row>
    <row r="3" customFormat="false" ht="15" hidden="false" customHeight="false" outlineLevel="0" collapsed="false">
      <c r="A3" s="77" t="s">
        <v>781</v>
      </c>
    </row>
    <row r="5" customFormat="false" ht="15" hidden="false" customHeight="false" outlineLevel="0" collapsed="false">
      <c r="B5" s="78" t="s">
        <v>782</v>
      </c>
      <c r="C5" s="43" t="s">
        <v>783</v>
      </c>
    </row>
    <row r="6" customFormat="false" ht="29.85" hidden="false" customHeight="false" outlineLevel="0" collapsed="false">
      <c r="B6" s="79" t="s">
        <v>784</v>
      </c>
      <c r="C6" s="50" t="s">
        <v>785</v>
      </c>
    </row>
    <row r="7" customFormat="false" ht="29.85" hidden="false" customHeight="false" outlineLevel="0" collapsed="false">
      <c r="B7" s="78" t="s">
        <v>786</v>
      </c>
      <c r="C7" s="43" t="s">
        <v>787</v>
      </c>
    </row>
    <row r="8" customFormat="false" ht="15" hidden="false" customHeight="false" outlineLevel="0" collapsed="false">
      <c r="B8" s="80" t="s">
        <v>788</v>
      </c>
      <c r="C8" s="56" t="s">
        <v>789</v>
      </c>
    </row>
    <row r="9" customFormat="false" ht="15" hidden="false" customHeight="false" outlineLevel="0" collapsed="false">
      <c r="B9" s="78" t="s">
        <v>790</v>
      </c>
      <c r="C9" s="43" t="s">
        <v>791</v>
      </c>
    </row>
    <row r="10" customFormat="false" ht="15" hidden="false" customHeight="false" outlineLevel="0" collapsed="false">
      <c r="B10" s="79" t="s">
        <v>792</v>
      </c>
      <c r="C10" s="50" t="s">
        <v>793</v>
      </c>
    </row>
    <row r="11" customFormat="false" ht="29.85" hidden="false" customHeight="false" outlineLevel="0" collapsed="false">
      <c r="B11" s="78" t="s">
        <v>794</v>
      </c>
      <c r="C11" s="43" t="s">
        <v>795</v>
      </c>
    </row>
    <row r="12" customFormat="false" ht="44" hidden="false" customHeight="false" outlineLevel="0" collapsed="false">
      <c r="B12" s="80" t="s">
        <v>796</v>
      </c>
      <c r="C12" s="56" t="s">
        <v>797</v>
      </c>
    </row>
    <row r="13" customFormat="false" ht="41" hidden="false" customHeight="false" outlineLevel="0" collapsed="false">
      <c r="B13" s="78" t="s">
        <v>798</v>
      </c>
      <c r="C13" s="43" t="s">
        <v>799</v>
      </c>
    </row>
    <row r="14" customFormat="false" ht="15" hidden="false" customHeight="false" outlineLevel="0" collapsed="false">
      <c r="B14" s="79" t="s">
        <v>800</v>
      </c>
      <c r="C14" s="50" t="s">
        <v>801</v>
      </c>
    </row>
    <row r="15" customFormat="false" ht="15" hidden="false" customHeight="false" outlineLevel="0" collapsed="false">
      <c r="B15" s="78" t="s">
        <v>802</v>
      </c>
      <c r="C15" s="43" t="s">
        <v>803</v>
      </c>
    </row>
    <row r="16" customFormat="false" ht="29.85" hidden="false" customHeight="false" outlineLevel="0" collapsed="false">
      <c r="B16" s="79" t="s">
        <v>804</v>
      </c>
      <c r="C16" s="56" t="s">
        <v>805</v>
      </c>
    </row>
    <row r="19" customFormat="false" ht="15" hidden="false" customHeight="false" outlineLevel="0" collapsed="false">
      <c r="A19" s="77" t="s">
        <v>806</v>
      </c>
    </row>
    <row r="21" customFormat="false" ht="15" hidden="false" customHeight="false" outlineLevel="0" collapsed="false">
      <c r="A21" s="21" t="s">
        <v>807</v>
      </c>
      <c r="B21" s="21" t="s">
        <v>808</v>
      </c>
      <c r="C21" s="21" t="s">
        <v>809</v>
      </c>
      <c r="D21" s="21" t="s">
        <v>810</v>
      </c>
      <c r="E21" s="21" t="s">
        <v>811</v>
      </c>
    </row>
    <row r="22" customFormat="false" ht="29.85" hidden="false" customHeight="false" outlineLevel="0" collapsed="false">
      <c r="A22" s="42" t="s">
        <v>812</v>
      </c>
      <c r="B22" s="43" t="s">
        <v>813</v>
      </c>
      <c r="C22" s="57" t="s">
        <v>814</v>
      </c>
      <c r="D22" s="81" t="s">
        <v>815</v>
      </c>
      <c r="E22" s="57" t="s">
        <v>816</v>
      </c>
    </row>
    <row r="23" customFormat="false" ht="29.85" hidden="false" customHeight="false" outlineLevel="0" collapsed="false">
      <c r="A23" s="49" t="s">
        <v>817</v>
      </c>
      <c r="B23" s="56" t="s">
        <v>818</v>
      </c>
      <c r="C23" s="50" t="s">
        <v>819</v>
      </c>
      <c r="D23" s="82" t="s">
        <v>820</v>
      </c>
      <c r="E23" s="50" t="s">
        <v>821</v>
      </c>
    </row>
    <row r="24" customFormat="false" ht="29.85" hidden="false" customHeight="false" outlineLevel="0" collapsed="false">
      <c r="A24" s="42" t="s">
        <v>822</v>
      </c>
      <c r="B24" s="57" t="s">
        <v>823</v>
      </c>
      <c r="C24" s="43" t="s">
        <v>824</v>
      </c>
      <c r="D24" s="81" t="s">
        <v>815</v>
      </c>
      <c r="E24" s="43" t="s">
        <v>825</v>
      </c>
    </row>
    <row r="25" customFormat="false" ht="29.85" hidden="false" customHeight="false" outlineLevel="0" collapsed="false">
      <c r="A25" s="49" t="s">
        <v>826</v>
      </c>
      <c r="B25" s="50" t="s">
        <v>827</v>
      </c>
      <c r="C25" s="50" t="s">
        <v>828</v>
      </c>
      <c r="D25" s="82" t="s">
        <v>820</v>
      </c>
      <c r="E25" s="56" t="s">
        <v>829</v>
      </c>
    </row>
    <row r="26" customFormat="false" ht="29.85" hidden="false" customHeight="false" outlineLevel="0" collapsed="false">
      <c r="A26" s="42" t="s">
        <v>830</v>
      </c>
      <c r="B26" s="43" t="s">
        <v>831</v>
      </c>
      <c r="C26" s="43" t="s">
        <v>832</v>
      </c>
      <c r="D26" s="81" t="s">
        <v>820</v>
      </c>
      <c r="E26" s="43" t="s">
        <v>833</v>
      </c>
    </row>
    <row r="27" customFormat="false" ht="44" hidden="false" customHeight="false" outlineLevel="0" collapsed="false">
      <c r="A27" s="49" t="s">
        <v>834</v>
      </c>
      <c r="B27" s="50" t="s">
        <v>835</v>
      </c>
      <c r="C27" s="50" t="s">
        <v>836</v>
      </c>
      <c r="D27" s="82" t="s">
        <v>820</v>
      </c>
      <c r="E27" s="50" t="s">
        <v>837</v>
      </c>
    </row>
    <row r="28" customFormat="false" ht="29.85" hidden="false" customHeight="false" outlineLevel="0" collapsed="false">
      <c r="A28" s="42" t="s">
        <v>838</v>
      </c>
      <c r="B28" s="43" t="s">
        <v>839</v>
      </c>
      <c r="C28" s="43" t="s">
        <v>840</v>
      </c>
      <c r="D28" s="81" t="s">
        <v>815</v>
      </c>
      <c r="E28" s="43" t="s">
        <v>841</v>
      </c>
    </row>
    <row r="29" customFormat="false" ht="29.85" hidden="false" customHeight="false" outlineLevel="0" collapsed="false">
      <c r="A29" s="49" t="s">
        <v>842</v>
      </c>
      <c r="B29" s="50" t="s">
        <v>843</v>
      </c>
      <c r="C29" s="50" t="s">
        <v>844</v>
      </c>
      <c r="D29" s="82" t="s">
        <v>820</v>
      </c>
      <c r="E29" s="50" t="s">
        <v>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2026-07-30T15:04:41Z</dcterms:created>
  <dc:creator>openpyxl</dc:creator>
  <dc:description/>
  <dc:language>en-US</dc:language>
  <cp:lastModifiedBy/>
  <dcterms:modified xsi:type="dcterms:W3CDTF">2026-07-30T15:04:41Z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