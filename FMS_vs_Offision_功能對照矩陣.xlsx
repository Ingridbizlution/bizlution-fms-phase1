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對照矩陣" sheetId="2" state="visible" r:id="rId4"/>
    <sheet name="統計摘要" sheetId="3" state="visible" r:id="rId5"/>
    <sheet name="剩餘工作" sheetId="4" state="visible" r:id="rId6"/>
    <sheet name="參考來源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<sst xmlns="http://schemas.openxmlformats.org/spreadsheetml/2006/main" count="1873" uniqueCount="724">
  <si>
    <r>
      <rPr>
        <b val="true"/>
        <sz val="16"/>
        <color rgb="FF0A0E18"/>
        <rFont val="Arial"/>
        <family val="0"/>
        <charset val="1"/>
      </rPr>
      <t xml:space="preserve">Offision </t>
    </r>
    <r>
      <rPr>
        <b val="true"/>
        <sz val="16"/>
        <color rgb="FF0A0E18"/>
        <rFont val="Noto Sans CJK SC"/>
        <family val="2"/>
      </rPr>
      <t xml:space="preserve">功能對照矩陣 — </t>
    </r>
    <r>
      <rPr>
        <b val="true"/>
        <sz val="16"/>
        <color rgb="FF0A0E18"/>
        <rFont val="Arial"/>
        <family val="0"/>
        <charset val="1"/>
      </rPr>
      <t xml:space="preserve">Bizlution FMS </t>
    </r>
    <r>
      <rPr>
        <b val="true"/>
        <sz val="16"/>
        <color rgb="FF0A0E18"/>
        <rFont val="Noto Sans CJK SC"/>
        <family val="2"/>
      </rPr>
      <t xml:space="preserve">後端支援度分析</t>
    </r>
  </si>
  <si>
    <t xml:space="preserve">分析對象</t>
  </si>
  <si>
    <r>
      <rPr>
        <sz val="10"/>
        <color rgb="FF1A1F26"/>
        <rFont val="Arial"/>
        <family val="0"/>
        <charset val="1"/>
      </rPr>
      <t xml:space="preserve">Offision v4.5.4-20067</t>
    </r>
    <r>
      <rPr>
        <sz val="10"/>
        <color rgb="FF1A1F26"/>
        <rFont val="Noto Sans CJK SC"/>
        <family val="2"/>
      </rPr>
      <t xml:space="preserve">（</t>
    </r>
    <r>
      <rPr>
        <sz val="10"/>
        <color rgb="FF1A1F26"/>
        <rFont val="Arial"/>
        <family val="0"/>
        <charset val="1"/>
      </rPr>
      <t xml:space="preserve">ONEs Software Limited</t>
    </r>
    <r>
      <rPr>
        <sz val="10"/>
        <color rgb="FF1A1F26"/>
        <rFont val="Noto Sans CJK SC"/>
        <family val="2"/>
      </rPr>
      <t xml:space="preserve">）— 依《</t>
    </r>
    <r>
      <rPr>
        <sz val="10"/>
        <color rgb="FF1A1F26"/>
        <rFont val="Arial"/>
        <family val="0"/>
        <charset val="1"/>
      </rPr>
      <t xml:space="preserve">Offision</t>
    </r>
    <r>
      <rPr>
        <sz val="10"/>
        <color rgb="FF1A1F26"/>
        <rFont val="Noto Sans CJK SC"/>
        <family val="2"/>
      </rPr>
      <t xml:space="preserve">功能參考文件</t>
    </r>
    <r>
      <rPr>
        <sz val="10"/>
        <color rgb="FF1A1F26"/>
        <rFont val="Arial"/>
        <family val="0"/>
        <charset val="1"/>
      </rPr>
      <t xml:space="preserve">.docx</t>
    </r>
    <r>
      <rPr>
        <sz val="10"/>
        <color rgb="FF1A1F26"/>
        <rFont val="Noto Sans CJK SC"/>
        <family val="2"/>
      </rPr>
      <t xml:space="preserve">》逐條對照</t>
    </r>
  </si>
  <si>
    <t xml:space="preserve">對照基準</t>
  </si>
  <si>
    <r>
      <rPr>
        <sz val="10"/>
        <color rgb="FF1A1F26"/>
        <rFont val="Arial"/>
        <family val="0"/>
        <charset val="1"/>
      </rPr>
      <t xml:space="preserve">Bizlution FMS </t>
    </r>
    <r>
      <rPr>
        <sz val="10"/>
        <color rgb="FF1A1F26"/>
        <rFont val="Noto Sans CJK SC"/>
        <family val="2"/>
      </rPr>
      <t xml:space="preserve">第一階段後端（</t>
    </r>
    <r>
      <rPr>
        <sz val="10"/>
        <color rgb="FF1A1F26"/>
        <rFont val="Arial"/>
        <family val="0"/>
        <charset val="1"/>
      </rPr>
      <t xml:space="preserve">sql/001–012</t>
    </r>
    <r>
      <rPr>
        <sz val="10"/>
        <color rgb="FF1A1F26"/>
        <rFont val="Noto Sans CJK SC"/>
        <family val="2"/>
      </rPr>
      <t xml:space="preserve">、</t>
    </r>
    <r>
      <rPr>
        <sz val="10"/>
        <color rgb="FF1A1F26"/>
        <rFont val="Arial"/>
        <family val="0"/>
        <charset val="1"/>
      </rPr>
      <t xml:space="preserve">api/openapi.yaml</t>
    </r>
    <r>
      <rPr>
        <sz val="10"/>
        <color rgb="FF1A1F26"/>
        <rFont val="Noto Sans CJK SC"/>
        <family val="2"/>
      </rPr>
      <t xml:space="preserve">）</t>
    </r>
  </si>
  <si>
    <t xml:space="preserve">分析日期</t>
  </si>
  <si>
    <t xml:space="preserve">2026-07-29</t>
  </si>
  <si>
    <t xml:space="preserve">功能項目數</t>
  </si>
  <si>
    <r>
      <rPr>
        <b val="true"/>
        <sz val="10"/>
        <color rgb="FF1A1F26"/>
        <rFont val="Noto Sans CJK SC"/>
        <family val="2"/>
      </rPr>
      <t xml:space="preserve">結論（</t>
    </r>
    <r>
      <rPr>
        <b val="true"/>
        <sz val="10"/>
        <color rgb="FF1A1F26"/>
        <rFont val="Arial"/>
        <family val="0"/>
        <charset val="1"/>
      </rPr>
      <t xml:space="preserve">011 </t>
    </r>
    <r>
      <rPr>
        <b val="true"/>
        <sz val="10"/>
        <color rgb="FF1A1F26"/>
        <rFont val="Noto Sans CJK SC"/>
        <family val="2"/>
      </rPr>
      <t xml:space="preserve">補強前）</t>
    </r>
  </si>
  <si>
    <r>
      <rPr>
        <b val="true"/>
        <sz val="10"/>
        <color rgb="FF1A1F26"/>
        <rFont val="Noto Sans CJK SC"/>
        <family val="2"/>
      </rPr>
      <t xml:space="preserve">結論（</t>
    </r>
    <r>
      <rPr>
        <b val="true"/>
        <sz val="10"/>
        <color rgb="FF1A1F26"/>
        <rFont val="Arial"/>
        <family val="0"/>
        <charset val="1"/>
      </rPr>
      <t xml:space="preserve">011 </t>
    </r>
    <r>
      <rPr>
        <b val="true"/>
        <sz val="10"/>
        <color rgb="FF1A1F26"/>
        <rFont val="Noto Sans CJK SC"/>
        <family val="2"/>
      </rPr>
      <t xml:space="preserve">補強後）</t>
    </r>
  </si>
  <si>
    <t xml:space="preserve">剩餘工作量</t>
  </si>
  <si>
    <t xml:space="preserve">工作表導覽</t>
  </si>
  <si>
    <t xml:space="preserve">對照矩陣</t>
  </si>
  <si>
    <r>
      <rPr>
        <sz val="10"/>
        <color rgb="FF1A1F26"/>
        <rFont val="Noto Sans CJK SC"/>
        <family val="2"/>
      </rPr>
      <t xml:space="preserve">逐條功能對照：</t>
    </r>
    <r>
      <rPr>
        <sz val="10"/>
        <color rgb="FF1A1F26"/>
        <rFont val="Arial"/>
        <family val="0"/>
        <charset val="1"/>
      </rPr>
      <t xml:space="preserve">Offision </t>
    </r>
    <r>
      <rPr>
        <sz val="10"/>
        <color rgb="FF1A1F26"/>
        <rFont val="Noto Sans CJK SC"/>
        <family val="2"/>
      </rPr>
      <t xml:space="preserve">行為、</t>
    </r>
    <r>
      <rPr>
        <sz val="10"/>
        <color rgb="FF1A1F26"/>
        <rFont val="Arial"/>
        <family val="0"/>
        <charset val="1"/>
      </rPr>
      <t xml:space="preserve">011 </t>
    </r>
    <r>
      <rPr>
        <sz val="10"/>
        <color rgb="FF1A1F26"/>
        <rFont val="Noto Sans CJK SC"/>
        <family val="2"/>
      </rPr>
      <t xml:space="preserve">前後支援狀態、對應資料表與 </t>
    </r>
    <r>
      <rPr>
        <sz val="10"/>
        <color rgb="FF1A1F26"/>
        <rFont val="Arial"/>
        <family val="0"/>
        <charset val="1"/>
      </rPr>
      <t xml:space="preserve">API</t>
    </r>
    <r>
      <rPr>
        <sz val="10"/>
        <color rgb="FF1A1F26"/>
        <rFont val="Noto Sans CJK SC"/>
        <family val="2"/>
      </rPr>
      <t xml:space="preserve">、缺口與工作量</t>
    </r>
  </si>
  <si>
    <t xml:space="preserve">統計摘要</t>
  </si>
  <si>
    <t xml:space="preserve">依領域與狀態的交叉統計，以及補強前後的覆蓋率（全部為公式）</t>
  </si>
  <si>
    <t xml:space="preserve">剩餘工作</t>
  </si>
  <si>
    <r>
      <rPr>
        <sz val="10"/>
        <color rgb="FF1A1F26"/>
        <rFont val="Noto Sans CJK SC"/>
        <family val="2"/>
      </rPr>
      <t xml:space="preserve">仍需實作的項目清單，含人日與優先級，可直接併入 </t>
    </r>
    <r>
      <rPr>
        <sz val="10"/>
        <color rgb="FF1A1F26"/>
        <rFont val="Arial"/>
        <family val="0"/>
        <charset val="1"/>
      </rPr>
      <t xml:space="preserve">WBS</t>
    </r>
  </si>
  <si>
    <t xml:space="preserve">參考來源</t>
  </si>
  <si>
    <t xml:space="preserve">文件與網路佐證來源</t>
  </si>
  <si>
    <t xml:space="preserve">狀態定義</t>
  </si>
  <si>
    <t xml:space="preserve">超越</t>
  </si>
  <si>
    <r>
      <rPr>
        <sz val="10"/>
        <color rgb="FF1A1F26"/>
        <rFont val="Noto Sans CJK SC"/>
        <family val="2"/>
      </rPr>
      <t xml:space="preserve">我方能力超出 </t>
    </r>
    <r>
      <rPr>
        <sz val="10"/>
        <color rgb="FF1A1F26"/>
        <rFont val="Arial"/>
        <family val="0"/>
        <charset val="1"/>
      </rPr>
      <t xml:space="preserve">Offision</t>
    </r>
    <r>
      <rPr>
        <sz val="10"/>
        <color rgb="FF1A1F26"/>
        <rFont val="Noto Sans CJK SC"/>
        <family val="2"/>
      </rPr>
      <t xml:space="preserve">（例：資料庫層排他約束、無限層組織樹、資料驅動狀態機）</t>
    </r>
  </si>
  <si>
    <t xml:space="preserve">完全支援</t>
  </si>
  <si>
    <r>
      <rPr>
        <sz val="10"/>
        <color rgb="FF1A1F26"/>
        <rFont val="Noto Sans CJK SC"/>
        <family val="2"/>
      </rPr>
      <t xml:space="preserve">資料模型已完整支援，僅需一般 </t>
    </r>
    <r>
      <rPr>
        <sz val="10"/>
        <color rgb="FF1A1F26"/>
        <rFont val="Arial"/>
        <family val="0"/>
        <charset val="1"/>
      </rPr>
      <t xml:space="preserve">API</t>
    </r>
    <r>
      <rPr>
        <sz val="10"/>
        <color rgb="FF1A1F26"/>
        <rFont val="Noto Sans CJK SC"/>
        <family val="2"/>
      </rPr>
      <t xml:space="preserve">／查詢實作</t>
    </r>
  </si>
  <si>
    <r>
      <rPr>
        <b val="true"/>
        <sz val="10"/>
        <color rgb="FF1A1F26"/>
        <rFont val="Noto Sans CJK SC"/>
        <family val="2"/>
      </rPr>
      <t xml:space="preserve">需補 </t>
    </r>
    <r>
      <rPr>
        <b val="true"/>
        <sz val="10"/>
        <color rgb="FF1A1F26"/>
        <rFont val="Arial"/>
        <family val="0"/>
        <charset val="1"/>
      </rPr>
      <t xml:space="preserve">API</t>
    </r>
  </si>
  <si>
    <r>
      <rPr>
        <sz val="10"/>
        <color rgb="FF1A1F26"/>
        <rFont val="Noto Sans CJK SC"/>
        <family val="2"/>
      </rPr>
      <t xml:space="preserve">資料模型足夠，但需補 </t>
    </r>
    <r>
      <rPr>
        <sz val="10"/>
        <color rgb="FF1A1F26"/>
        <rFont val="Arial"/>
        <family val="0"/>
        <charset val="1"/>
      </rPr>
      <t xml:space="preserve">API</t>
    </r>
    <r>
      <rPr>
        <sz val="10"/>
        <color rgb="FF1A1F26"/>
        <rFont val="Noto Sans CJK SC"/>
        <family val="2"/>
      </rPr>
      <t xml:space="preserve">、設定或先與客戶確認定義（無需改 </t>
    </r>
    <r>
      <rPr>
        <sz val="10"/>
        <color rgb="FF1A1F26"/>
        <rFont val="Arial"/>
        <family val="0"/>
        <charset val="1"/>
      </rPr>
      <t xml:space="preserve">schema</t>
    </r>
    <r>
      <rPr>
        <sz val="10"/>
        <color rgb="FF1A1F26"/>
        <rFont val="Noto Sans CJK SC"/>
        <family val="2"/>
      </rPr>
      <t xml:space="preserve">）</t>
    </r>
  </si>
  <si>
    <r>
      <rPr>
        <b val="true"/>
        <sz val="10"/>
        <color rgb="FF1A1F26"/>
        <rFont val="Arial"/>
        <family val="0"/>
        <charset val="1"/>
      </rPr>
      <t xml:space="preserve">011 </t>
    </r>
    <r>
      <rPr>
        <b val="true"/>
        <sz val="10"/>
        <color rgb="FF1A1F26"/>
        <rFont val="Noto Sans CJK SC"/>
        <family val="2"/>
      </rPr>
      <t xml:space="preserve">已補強</t>
    </r>
  </si>
  <si>
    <r>
      <rPr>
        <sz val="10"/>
        <color rgb="FF1A1F26"/>
        <rFont val="Noto Sans CJK SC"/>
        <family val="2"/>
      </rPr>
      <t xml:space="preserve">原為缺口，已於 </t>
    </r>
    <r>
      <rPr>
        <sz val="10"/>
        <color rgb="FF1A1F26"/>
        <rFont val="Arial"/>
        <family val="0"/>
        <charset val="1"/>
      </rPr>
      <t xml:space="preserve">sql/011_offision_parity.sql </t>
    </r>
    <r>
      <rPr>
        <sz val="10"/>
        <color rgb="FF1A1F26"/>
        <rFont val="Noto Sans CJK SC"/>
        <family val="2"/>
      </rPr>
      <t xml:space="preserve">補上資料結構</t>
    </r>
  </si>
  <si>
    <t xml:space="preserve">缺口</t>
  </si>
  <si>
    <t xml:space="preserve">仍為缺口，需新增資料結構或外部整合</t>
  </si>
  <si>
    <t xml:space="preserve">範圍外</t>
  </si>
  <si>
    <r>
      <rPr>
        <sz val="10"/>
        <color rgb="FF1A1F26"/>
        <rFont val="Noto Sans CJK SC"/>
        <family val="2"/>
      </rPr>
      <t xml:space="preserve">建議劃出 </t>
    </r>
    <r>
      <rPr>
        <sz val="10"/>
        <color rgb="FF1A1F26"/>
        <rFont val="Arial"/>
        <family val="0"/>
        <charset val="1"/>
      </rPr>
      <t xml:space="preserve">FMS </t>
    </r>
    <r>
      <rPr>
        <sz val="10"/>
        <color rgb="FF1A1F26"/>
        <rFont val="Noto Sans CJK SC"/>
        <family val="2"/>
      </rPr>
      <t xml:space="preserve">核心範圍（</t>
    </r>
    <r>
      <rPr>
        <sz val="10"/>
        <color rgb="FF1A1F26"/>
        <rFont val="Arial"/>
        <family val="0"/>
        <charset val="1"/>
      </rPr>
      <t xml:space="preserve">HR</t>
    </r>
    <r>
      <rPr>
        <sz val="10"/>
        <color rgb="FF1A1F26"/>
        <rFont val="Noto Sans CJK SC"/>
        <family val="2"/>
      </rPr>
      <t xml:space="preserve">／財務／行銷領域）</t>
    </r>
  </si>
  <si>
    <t xml:space="preserve">使用說明</t>
  </si>
  <si>
    <t xml:space="preserve">要你填的欄位</t>
  </si>
  <si>
    <r>
      <rPr>
        <sz val="10"/>
        <color rgb="FF1A1F26"/>
        <rFont val="Noto Sans CJK SC"/>
        <family val="2"/>
      </rPr>
      <t xml:space="preserve">「對照矩陣」</t>
    </r>
    <r>
      <rPr>
        <sz val="10"/>
        <color rgb="FF1A1F26"/>
        <rFont val="Arial"/>
        <family val="0"/>
        <charset val="1"/>
      </rPr>
      <t xml:space="preserve">L </t>
    </r>
    <r>
      <rPr>
        <sz val="10"/>
        <color rgb="FF1A1F26"/>
        <rFont val="Noto Sans CJK SC"/>
        <family val="2"/>
      </rPr>
      <t xml:space="preserve">欄（決策）與 </t>
    </r>
    <r>
      <rPr>
        <sz val="10"/>
        <color rgb="FF1A1F26"/>
        <rFont val="Arial"/>
        <family val="0"/>
        <charset val="1"/>
      </rPr>
      <t xml:space="preserve">M </t>
    </r>
    <r>
      <rPr>
        <sz val="10"/>
        <color rgb="FF1A1F26"/>
        <rFont val="Noto Sans CJK SC"/>
        <family val="2"/>
      </rPr>
      <t xml:space="preserve">欄（負責人）；黃色底色為輸入格</t>
    </r>
  </si>
  <si>
    <r>
      <rPr>
        <b val="true"/>
        <sz val="10"/>
        <color rgb="FF1A1F26"/>
        <rFont val="Noto Sans CJK SC"/>
        <family val="2"/>
      </rPr>
      <t xml:space="preserve">人日欄（</t>
    </r>
    <r>
      <rPr>
        <b val="true"/>
        <sz val="10"/>
        <color rgb="FF1A1F26"/>
        <rFont val="Arial"/>
        <family val="0"/>
        <charset val="1"/>
      </rPr>
      <t xml:space="preserve">K </t>
    </r>
    <r>
      <rPr>
        <b val="true"/>
        <sz val="10"/>
        <color rgb="FF1A1F26"/>
        <rFont val="Noto Sans CJK SC"/>
        <family val="2"/>
      </rPr>
      <t xml:space="preserve">欄）</t>
    </r>
  </si>
  <si>
    <t xml:space="preserve">藍色字為估算輸入值，改動後統計與剩餘工作會自動重算</t>
  </si>
  <si>
    <t xml:space="preserve">重要提醒</t>
  </si>
  <si>
    <r>
      <rPr>
        <sz val="10"/>
        <color rgb="FF1A1F26"/>
        <rFont val="Noto Sans CJK SC"/>
        <family val="2"/>
      </rPr>
      <t xml:space="preserve">「範圍外」項目請於客戶簡報中明確標示，避免在 </t>
    </r>
    <r>
      <rPr>
        <sz val="10"/>
        <color rgb="FF1A1F26"/>
        <rFont val="Arial"/>
        <family val="0"/>
        <charset val="1"/>
      </rPr>
      <t xml:space="preserve">UAT </t>
    </r>
    <r>
      <rPr>
        <sz val="10"/>
        <color rgb="FF1A1F26"/>
        <rFont val="Noto Sans CJK SC"/>
        <family val="2"/>
      </rPr>
      <t xml:space="preserve">階段被視為缺漏</t>
    </r>
  </si>
  <si>
    <t xml:space="preserve">編號</t>
  </si>
  <si>
    <r>
      <rPr>
        <b val="true"/>
        <sz val="10"/>
        <color rgb="FFFFFFFF"/>
        <rFont val="Arial"/>
        <family val="0"/>
        <charset val="1"/>
      </rPr>
      <t xml:space="preserve">Offision </t>
    </r>
    <r>
      <rPr>
        <b val="true"/>
        <sz val="10"/>
        <color rgb="FFFFFFFF"/>
        <rFont val="Noto Sans CJK SC"/>
        <family val="2"/>
      </rPr>
      <t xml:space="preserve">章節</t>
    </r>
  </si>
  <si>
    <t xml:space="preserve">領域</t>
  </si>
  <si>
    <t xml:space="preserve">功能項目</t>
  </si>
  <si>
    <r>
      <rPr>
        <b val="true"/>
        <sz val="10"/>
        <color rgb="FFFFFFFF"/>
        <rFont val="Arial"/>
        <family val="0"/>
        <charset val="1"/>
      </rPr>
      <t xml:space="preserve">Offision </t>
    </r>
    <r>
      <rPr>
        <b val="true"/>
        <sz val="10"/>
        <color rgb="FFFFFFFF"/>
        <rFont val="Noto Sans CJK SC"/>
        <family val="2"/>
      </rPr>
      <t xml:space="preserve">行為</t>
    </r>
  </si>
  <si>
    <r>
      <rPr>
        <b val="true"/>
        <sz val="10"/>
        <color rgb="FFFFFFFF"/>
        <rFont val="Arial"/>
        <family val="0"/>
        <charset val="1"/>
      </rPr>
      <t xml:space="preserve">011 </t>
    </r>
    <r>
      <rPr>
        <b val="true"/>
        <sz val="10"/>
        <color rgb="FFFFFFFF"/>
        <rFont val="Noto Sans CJK SC"/>
        <family val="2"/>
      </rPr>
      <t xml:space="preserve">前狀態</t>
    </r>
  </si>
  <si>
    <r>
      <rPr>
        <b val="true"/>
        <sz val="10"/>
        <color rgb="FFFFFFFF"/>
        <rFont val="Arial"/>
        <family val="0"/>
        <charset val="1"/>
      </rPr>
      <t xml:space="preserve">011 </t>
    </r>
    <r>
      <rPr>
        <b val="true"/>
        <sz val="10"/>
        <color rgb="FFFFFFFF"/>
        <rFont val="Noto Sans CJK SC"/>
        <family val="2"/>
      </rPr>
      <t xml:space="preserve">後狀態</t>
    </r>
  </si>
  <si>
    <t xml:space="preserve">對應資料表／物件</t>
  </si>
  <si>
    <r>
      <rPr>
        <b val="true"/>
        <sz val="10"/>
        <color rgb="FFFFFFFF"/>
        <rFont val="Noto Sans CJK SC"/>
        <family val="2"/>
      </rPr>
      <t xml:space="preserve">對應 </t>
    </r>
    <r>
      <rPr>
        <b val="true"/>
        <sz val="10"/>
        <color rgb="FFFFFFFF"/>
        <rFont val="Arial"/>
        <family val="0"/>
        <charset val="1"/>
      </rPr>
      <t xml:space="preserve">API</t>
    </r>
  </si>
  <si>
    <t xml:space="preserve">缺口說明／待辦</t>
  </si>
  <si>
    <t xml:space="preserve">人日</t>
  </si>
  <si>
    <t xml:space="preserve">決策</t>
  </si>
  <si>
    <t xml:space="preserve">負責人</t>
  </si>
  <si>
    <t xml:space="preserve">§1.2</t>
  </si>
  <si>
    <t xml:space="preserve">架構</t>
  </si>
  <si>
    <t xml:space="preserve">多分支機構架構</t>
  </si>
  <si>
    <r>
      <rPr>
        <sz val="9"/>
        <color rgb="FF1A1F26"/>
        <rFont val="Arial"/>
        <family val="0"/>
        <charset val="1"/>
      </rPr>
      <t xml:space="preserve">HQ + </t>
    </r>
    <r>
      <rPr>
        <sz val="9"/>
        <color rgb="FF1A1F26"/>
        <rFont val="Noto Sans CJK SC"/>
        <family val="2"/>
      </rPr>
      <t xml:space="preserve">子分公司兩層，分部各自配置資源</t>
    </r>
  </si>
  <si>
    <t xml:space="preserve">tenants / organizations(ltree) / facilities</t>
  </si>
  <si>
    <t xml:space="preserve">GET /organizations?subtree_of</t>
  </si>
  <si>
    <t xml:space="preserve">我方為無限層組織樹，集團→子公司→事業部→部門皆可</t>
  </si>
  <si>
    <t xml:space="preserve">待決</t>
  </si>
  <si>
    <t xml:space="preserve">§1.1</t>
  </si>
  <si>
    <r>
      <rPr>
        <b val="true"/>
        <sz val="9"/>
        <color rgb="FF1A1F26"/>
        <rFont val="Arial"/>
        <family val="0"/>
        <charset val="1"/>
      </rPr>
      <t xml:space="preserve">SaaS </t>
    </r>
    <r>
      <rPr>
        <b val="true"/>
        <sz val="9"/>
        <color rgb="FF1A1F26"/>
        <rFont val="Noto Sans CJK SC"/>
        <family val="2"/>
      </rPr>
      <t xml:space="preserve">多租戶</t>
    </r>
  </si>
  <si>
    <t xml:space="preserve">雲端多租戶，無本地安裝</t>
  </si>
  <si>
    <r>
      <rPr>
        <sz val="9"/>
        <color rgb="FF1A1F26"/>
        <rFont val="Noto Sans CJK SC"/>
        <family val="2"/>
      </rPr>
      <t xml:space="preserve">全表 </t>
    </r>
    <r>
      <rPr>
        <sz val="9"/>
        <color rgb="FF1A1F26"/>
        <rFont val="Arial"/>
        <family val="0"/>
        <charset val="1"/>
      </rPr>
      <t xml:space="preserve">tenant_id + RLS + FORCE RLS</t>
    </r>
  </si>
  <si>
    <t xml:space="preserve">—</t>
  </si>
  <si>
    <t xml:space="preserve">隔離由資料庫引擎強制，非應用層條件</t>
  </si>
  <si>
    <t xml:space="preserve">§1.3</t>
  </si>
  <si>
    <t xml:space="preserve">權限</t>
  </si>
  <si>
    <t xml:space="preserve">角色型存取控制</t>
  </si>
  <si>
    <r>
      <rPr>
        <sz val="9"/>
        <color rgb="FF1A1F26"/>
        <rFont val="Arial"/>
        <family val="0"/>
        <charset val="1"/>
      </rPr>
      <t xml:space="preserve">4 </t>
    </r>
    <r>
      <rPr>
        <sz val="9"/>
        <color rgb="FF1A1F26"/>
        <rFont val="Noto Sans CJK SC"/>
        <family val="2"/>
      </rPr>
      <t xml:space="preserve">種角色：超管／分部管理員／維修人員／一般用戶</t>
    </r>
  </si>
  <si>
    <t xml:space="preserve">roles / permissions / user_role_assignments</t>
  </si>
  <si>
    <t xml:space="preserve">POST /users/{id}/role-assignments</t>
  </si>
  <si>
    <r>
      <rPr>
        <sz val="9"/>
        <color rgb="FF1A1F26"/>
        <rFont val="Noto Sans CJK SC"/>
        <family val="2"/>
      </rPr>
      <t xml:space="preserve">我方 </t>
    </r>
    <r>
      <rPr>
        <sz val="9"/>
        <color rgb="FF1A1F26"/>
        <rFont val="Arial"/>
        <family val="0"/>
        <charset val="1"/>
      </rPr>
      <t xml:space="preserve">11 </t>
    </r>
    <r>
      <rPr>
        <sz val="9"/>
        <color rgb="FF1A1F26"/>
        <rFont val="Noto Sans CJK SC"/>
        <family val="2"/>
      </rPr>
      <t xml:space="preserve">系統角色、</t>
    </r>
    <r>
      <rPr>
        <sz val="9"/>
        <color rgb="FF1A1F26"/>
        <rFont val="Arial"/>
        <family val="0"/>
        <charset val="1"/>
      </rPr>
      <t xml:space="preserve">84 </t>
    </r>
    <r>
      <rPr>
        <sz val="9"/>
        <color rgb="FF1A1F26"/>
        <rFont val="Noto Sans CJK SC"/>
        <family val="2"/>
      </rPr>
      <t xml:space="preserve">權限、四層 </t>
    </r>
    <r>
      <rPr>
        <sz val="9"/>
        <color rgb="FF1A1F26"/>
        <rFont val="Arial"/>
        <family val="0"/>
        <charset val="1"/>
      </rPr>
      <t xml:space="preserve">scope</t>
    </r>
    <r>
      <rPr>
        <sz val="9"/>
        <color rgb="FF1A1F26"/>
        <rFont val="Noto Sans CJK SC"/>
        <family val="2"/>
      </rPr>
      <t xml:space="preserve">（可授權到單一樓層）</t>
    </r>
  </si>
  <si>
    <t xml:space="preserve">多語言</t>
  </si>
  <si>
    <t xml:space="preserve">繁中／英文</t>
  </si>
  <si>
    <r>
      <rPr>
        <sz val="9"/>
        <color rgb="FF1A1F26"/>
        <rFont val="Noto Sans CJK SC"/>
        <family val="2"/>
      </rPr>
      <t xml:space="preserve">需補 </t>
    </r>
    <r>
      <rPr>
        <sz val="9"/>
        <color rgb="FF1A1F26"/>
        <rFont val="Arial"/>
        <family val="0"/>
        <charset val="1"/>
      </rPr>
      <t xml:space="preserve">API</t>
    </r>
  </si>
  <si>
    <t xml:space="preserve">notification_templates.locale / users.locale / amenities.name_en</t>
  </si>
  <si>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需支援 </t>
    </r>
    <r>
      <rPr>
        <sz val="9"/>
        <color rgb="FF1A1F26"/>
        <rFont val="Arial"/>
        <family val="0"/>
        <charset val="1"/>
      </rPr>
      <t xml:space="preserve">Accept-Language </t>
    </r>
    <r>
      <rPr>
        <sz val="9"/>
        <color rgb="FF1A1F26"/>
        <rFont val="Noto Sans CJK SC"/>
        <family val="2"/>
      </rPr>
      <t xml:space="preserve">並回傳對應語系字典</t>
    </r>
  </si>
  <si>
    <t xml:space="preserve">§2.1</t>
  </si>
  <si>
    <t xml:space="preserve">用戶端</t>
  </si>
  <si>
    <t xml:space="preserve">頁籤：所有（公告＋時間軸）</t>
  </si>
  <si>
    <t xml:space="preserve">公告橫幅＋今日時間軸＋快速預約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</si>
  <si>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已補強</t>
    </r>
  </si>
  <si>
    <t xml:space="preserve">announcements / reservations</t>
  </si>
  <si>
    <t xml:space="preserve">GET /announcements/feed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</si>
  <si>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已補公告表；需 </t>
    </r>
    <r>
      <rPr>
        <sz val="9"/>
        <color rgb="FF1A1F26"/>
        <rFont val="Arial"/>
        <family val="0"/>
        <charset val="1"/>
      </rPr>
      <t xml:space="preserve">feed API </t>
    </r>
    <r>
      <rPr>
        <sz val="9"/>
        <color rgb="FF1A1F26"/>
        <rFont val="Noto Sans CJK SC"/>
        <family val="2"/>
      </rPr>
      <t xml:space="preserve">與橫幅邏輯</t>
    </r>
  </si>
  <si>
    <t xml:space="preserve">頁籤：會議室</t>
  </si>
  <si>
    <t xml:space="preserve">預約房間、立即尋找、線上會議</t>
  </si>
  <si>
    <t xml:space="preserve">bookable_resources(SPATIAL_NODE)</t>
  </si>
  <si>
    <t xml:space="preserve">GET /facilities/{id}/availability</t>
  </si>
  <si>
    <t xml:space="preserve">頁籤：辦公桌</t>
  </si>
  <si>
    <t xml:space="preserve">預約辦公桌、立即尋找</t>
  </si>
  <si>
    <t xml:space="preserve">spatial_node_types(DESK) / bookable_resources</t>
  </si>
  <si>
    <t xml:space="preserve">同上</t>
  </si>
  <si>
    <r>
      <rPr>
        <sz val="9"/>
        <color rgb="FF1A1F26"/>
        <rFont val="Noto Sans CJK SC"/>
        <family val="2"/>
      </rPr>
      <t xml:space="preserve">節點型別已含 </t>
    </r>
    <r>
      <rPr>
        <sz val="9"/>
        <color rgb="FF1A1F26"/>
        <rFont val="Arial"/>
        <family val="0"/>
        <charset val="1"/>
      </rPr>
      <t xml:space="preserve">DESK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DESK_AREA</t>
    </r>
  </si>
  <si>
    <t xml:space="preserve">頁籤：設備</t>
  </si>
  <si>
    <t xml:space="preserve">預約共用設備（投影機、相機）</t>
  </si>
  <si>
    <t xml:space="preserve">bookable_resources(resource_type=ASSET)</t>
  </si>
  <si>
    <r>
      <rPr>
        <sz val="9"/>
        <color rgb="FF1A1F26"/>
        <rFont val="Noto Sans CJK SC"/>
        <family val="2"/>
      </rPr>
      <t xml:space="preserve">設備預約以 </t>
    </r>
    <r>
      <rPr>
        <sz val="9"/>
        <color rgb="FF1A1F26"/>
        <rFont val="Arial"/>
        <family val="0"/>
        <charset val="1"/>
      </rPr>
      <t xml:space="preserve">ASSET </t>
    </r>
    <r>
      <rPr>
        <sz val="9"/>
        <color rgb="FF1A1F26"/>
        <rFont val="Noto Sans CJK SC"/>
        <family val="2"/>
      </rPr>
      <t xml:space="preserve">型資源實作</t>
    </r>
  </si>
  <si>
    <t xml:space="preserve">頁籤：停車位</t>
  </si>
  <si>
    <t xml:space="preserve">預約停車位</t>
  </si>
  <si>
    <t xml:space="preserve">spatial_node_types(PARKING_SPACE)</t>
  </si>
  <si>
    <t xml:space="preserve">頁籤：其他資源</t>
  </si>
  <si>
    <t xml:space="preserve">自定義可預約資源</t>
  </si>
  <si>
    <r>
      <rPr>
        <sz val="9"/>
        <color rgb="FF1A1F26"/>
        <rFont val="Arial"/>
        <family val="0"/>
        <charset val="1"/>
      </rPr>
      <t xml:space="preserve">spatial_node_types(</t>
    </r>
    <r>
      <rPr>
        <sz val="9"/>
        <color rgb="FF1A1F26"/>
        <rFont val="Noto Sans CJK SC"/>
        <family val="2"/>
      </rPr>
      <t xml:space="preserve">租戶可擴充</t>
    </r>
    <r>
      <rPr>
        <sz val="9"/>
        <color rgb="FF1A1F26"/>
        <rFont val="Arial"/>
        <family val="0"/>
        <charset val="1"/>
      </rPr>
      <t xml:space="preserve">)</t>
    </r>
  </si>
  <si>
    <t xml:space="preserve">POST /spatial-node-types</t>
  </si>
  <si>
    <t xml:space="preserve">頁籤：訪客</t>
  </si>
  <si>
    <t xml:space="preserve">邀請訪客、訪客預登記</t>
  </si>
  <si>
    <t xml:space="preserve">visitors / visitor_invitations / visitor_access_grants</t>
  </si>
  <si>
    <t xml:space="preserve">POST /visitor-invitations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</si>
  <si>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已補三張表；需邀請、預登記、報到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QR </t>
    </r>
    <r>
      <rPr>
        <sz val="9"/>
        <color rgb="FF1A1F26"/>
        <rFont val="Noto Sans CJK SC"/>
        <family val="2"/>
      </rPr>
      <t xml:space="preserve">產生</t>
    </r>
  </si>
  <si>
    <t xml:space="preserve">頁籤：服務</t>
  </si>
  <si>
    <t xml:space="preserve">服務申請（依角色顯示不同操作）</t>
  </si>
  <si>
    <t xml:space="preserve">service_items(form_schema) / work_orders</t>
  </si>
  <si>
    <t xml:space="preserve">POST /work-orders</t>
  </si>
  <si>
    <r>
      <rPr>
        <sz val="9"/>
        <color rgb="FF1A1F26"/>
        <rFont val="Noto Sans CJK SC"/>
        <family val="2"/>
      </rPr>
      <t xml:space="preserve">我方另有 </t>
    </r>
    <r>
      <rPr>
        <sz val="9"/>
        <color rgb="FF1A1F26"/>
        <rFont val="Arial"/>
        <family val="0"/>
        <charset val="1"/>
      </rPr>
      <t xml:space="preserve">SLA</t>
    </r>
    <r>
      <rPr>
        <sz val="9"/>
        <color rgb="FF1A1F26"/>
        <rFont val="Noto Sans CJK SC"/>
        <family val="2"/>
      </rPr>
      <t xml:space="preserve">、派工、狀態機與滿意度</t>
    </r>
  </si>
  <si>
    <t xml:space="preserve">頁籤：代訂</t>
  </si>
  <si>
    <t xml:space="preserve">代他人預約資源</t>
  </si>
  <si>
    <t xml:space="preserve">reservations.on_behalf_of_id</t>
  </si>
  <si>
    <t xml:space="preserve">POST /reservations</t>
  </si>
  <si>
    <r>
      <rPr>
        <sz val="9"/>
        <color rgb="FF1A1F26"/>
        <rFont val="Noto Sans CJK SC"/>
        <family val="2"/>
      </rPr>
      <t xml:space="preserve">需權限檢查：代訂者需具該 </t>
    </r>
    <r>
      <rPr>
        <sz val="9"/>
        <color rgb="FF1A1F26"/>
        <rFont val="Arial"/>
        <family val="0"/>
        <charset val="1"/>
      </rPr>
      <t xml:space="preserve">scope </t>
    </r>
    <r>
      <rPr>
        <sz val="9"/>
        <color rgb="FF1A1F26"/>
        <rFont val="Noto Sans CJK SC"/>
        <family val="2"/>
      </rPr>
      <t xml:space="preserve">的 </t>
    </r>
    <r>
      <rPr>
        <sz val="9"/>
        <color rgb="FF1A1F26"/>
        <rFont val="Arial"/>
        <family val="0"/>
        <charset val="1"/>
      </rPr>
      <t xml:space="preserve">reservation:create</t>
    </r>
  </si>
  <si>
    <t xml:space="preserve">頁籤：已報告問題</t>
  </si>
  <si>
    <t xml:space="preserve">回報問題（工單申請）</t>
  </si>
  <si>
    <t xml:space="preserve">work_orders(CORRECTIVE)</t>
  </si>
  <si>
    <t xml:space="preserve">頁籤：公告</t>
  </si>
  <si>
    <t xml:space="preserve">查看公告、標記為已讀</t>
  </si>
  <si>
    <t xml:space="preserve">announcements / announcement_reads</t>
  </si>
  <si>
    <t xml:space="preserve">POST /announcements/{id}/read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</si>
  <si>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已補；需已讀與確認 </t>
    </r>
    <r>
      <rPr>
        <sz val="9"/>
        <color rgb="FF1A1F26"/>
        <rFont val="Arial"/>
        <family val="0"/>
        <charset val="1"/>
      </rPr>
      <t xml:space="preserve">API</t>
    </r>
  </si>
  <si>
    <t xml:space="preserve">§2.2.1</t>
  </si>
  <si>
    <t xml:space="preserve">預約</t>
  </si>
  <si>
    <t xml:space="preserve">單次預約</t>
  </si>
  <si>
    <t xml:space="preserve">一次性預約</t>
  </si>
  <si>
    <t xml:space="preserve">reservations</t>
  </si>
  <si>
    <t xml:space="preserve">重複預約</t>
  </si>
  <si>
    <r>
      <rPr>
        <sz val="9"/>
        <color rgb="FF1A1F26"/>
        <rFont val="Noto Sans CJK SC"/>
        <family val="2"/>
      </rPr>
      <t xml:space="preserve">每日／每週（選星期）／每月（選日期）、每 </t>
    </r>
    <r>
      <rPr>
        <sz val="9"/>
        <color rgb="FF1A1F26"/>
        <rFont val="Arial"/>
        <family val="0"/>
        <charset val="1"/>
      </rPr>
      <t xml:space="preserve">N </t>
    </r>
    <r>
      <rPr>
        <sz val="9"/>
        <color rgb="FF1A1F26"/>
        <rFont val="Noto Sans CJK SC"/>
        <family val="2"/>
      </rPr>
      <t xml:space="preserve">期、結束日</t>
    </r>
  </si>
  <si>
    <t xml:space="preserve">reservations.recurrence_rule(RRULE) / recurrence_group_id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</si>
  <si>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RRULE </t>
    </r>
    <r>
      <rPr>
        <sz val="9"/>
        <color rgb="FF1A1F26"/>
        <rFont val="Noto Sans CJK SC"/>
        <family val="2"/>
      </rPr>
      <t xml:space="preserve">展開器與部分衝突回報</t>
    </r>
  </si>
  <si>
    <t xml:space="preserve">系列預約</t>
  </si>
  <si>
    <t xml:space="preserve">多場獨立場次，每場可指派不同場地</t>
  </si>
  <si>
    <r>
      <rPr>
        <sz val="9"/>
        <color rgb="FF1A1F26"/>
        <rFont val="Arial"/>
        <family val="0"/>
        <charset val="1"/>
      </rPr>
      <t xml:space="preserve">reservations </t>
    </r>
    <r>
      <rPr>
        <sz val="9"/>
        <color rgb="FF1A1F26"/>
        <rFont val="Noto Sans CJK SC"/>
        <family val="2"/>
      </rPr>
      <t xml:space="preserve">共用 </t>
    </r>
    <r>
      <rPr>
        <sz val="9"/>
        <color rgb="FF1A1F26"/>
        <rFont val="Arial"/>
        <family val="0"/>
        <charset val="1"/>
      </rPr>
      <t xml:space="preserve">recurrence_group_id</t>
    </r>
  </si>
  <si>
    <r>
      <rPr>
        <sz val="9"/>
        <color rgb="FF1A1F26"/>
        <rFont val="Noto Sans CJK SC"/>
        <family val="2"/>
      </rPr>
      <t xml:space="preserve">各場次為獨立列，</t>
    </r>
    <r>
      <rPr>
        <sz val="9"/>
        <color rgb="FF1A1F26"/>
        <rFont val="Arial"/>
        <family val="0"/>
        <charset val="1"/>
      </rPr>
      <t xml:space="preserve">resource_id </t>
    </r>
    <r>
      <rPr>
        <sz val="9"/>
        <color rgb="FF1A1F26"/>
        <rFont val="Noto Sans CJK SC"/>
        <family val="2"/>
      </rPr>
      <t xml:space="preserve">可不同</t>
    </r>
  </si>
  <si>
    <t xml:space="preserve">§2.2.4</t>
  </si>
  <si>
    <t xml:space="preserve">系列：從檔案匯入場次</t>
  </si>
  <si>
    <t xml:space="preserve">上傳清單批量建立場次</t>
  </si>
  <si>
    <t xml:space="preserve">reservations / idempotency_keys</t>
  </si>
  <si>
    <t xml:space="preserve">POST /reservations:import</t>
  </si>
  <si>
    <t xml:space="preserve">需匯入解析、試跑與差異報告</t>
  </si>
  <si>
    <t xml:space="preserve">系列：跳過衝突</t>
  </si>
  <si>
    <r>
      <rPr>
        <sz val="9"/>
        <color rgb="FF1A1F26"/>
        <rFont val="Arial"/>
        <family val="0"/>
        <charset val="1"/>
      </rPr>
      <t xml:space="preserve">Skip conflicts </t>
    </r>
    <r>
      <rPr>
        <sz val="9"/>
        <color rgb="FF1A1F26"/>
        <rFont val="Noto Sans CJK SC"/>
        <family val="2"/>
      </rPr>
      <t xml:space="preserve">選項</t>
    </r>
  </si>
  <si>
    <t xml:space="preserve">check_resource_availability</t>
  </si>
  <si>
    <t xml:space="preserve">POST /reservations?on_conflict=skip</t>
  </si>
  <si>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旗標，逐場次判定後回報略過清單</t>
    </r>
  </si>
  <si>
    <t xml:space="preserve">§2.2.2</t>
  </si>
  <si>
    <t xml:space="preserve">欄位：標題（必填）</t>
  </si>
  <si>
    <t xml:space="preserve">預約名稱</t>
  </si>
  <si>
    <t xml:space="preserve">reservations.title</t>
  </si>
  <si>
    <t xml:space="preserve">欄位：私人預約</t>
  </si>
  <si>
    <t xml:space="preserve">僅本人可見詳情</t>
  </si>
  <si>
    <t xml:space="preserve">reservations.is_private</t>
  </si>
  <si>
    <r>
      <rPr>
        <sz val="9"/>
        <color rgb="FF1A1F26"/>
        <rFont val="Arial"/>
        <family val="0"/>
        <charset val="1"/>
      </rPr>
      <t xml:space="preserve">GET /reservations</t>
    </r>
    <r>
      <rPr>
        <sz val="9"/>
        <color rgb="FF1A1F26"/>
        <rFont val="Noto Sans CJK SC"/>
        <family val="2"/>
      </rPr>
      <t xml:space="preserve">（遮罩）</t>
    </r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</si>
  <si>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已補欄位；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需對非授權者遮罩標題／與會者／備註</t>
    </r>
  </si>
  <si>
    <t xml:space="preserve">欄位：全天</t>
  </si>
  <si>
    <t xml:space="preserve">不需指定時間</t>
  </si>
  <si>
    <t xml:space="preserve">reservations.is_all_day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</si>
  <si>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已補欄位</t>
    </r>
  </si>
  <si>
    <t xml:space="preserve">欄位：容納人數建議</t>
  </si>
  <si>
    <t xml:space="preserve">依人數推薦房間</t>
  </si>
  <si>
    <t xml:space="preserve">bookable_resources.capacity / spatial_nodes.capacity</t>
  </si>
  <si>
    <t xml:space="preserve">GET availability?min_capacity</t>
  </si>
  <si>
    <t xml:space="preserve">欄位：與會者（內部＋外部）</t>
  </si>
  <si>
    <t xml:space="preserve">加入內部用戶或外部訪客</t>
  </si>
  <si>
    <t xml:space="preserve">reservation_participants</t>
  </si>
  <si>
    <r>
      <rPr>
        <sz val="9"/>
        <color rgb="FF1A1F26"/>
        <rFont val="Noto Sans CJK SC"/>
        <family val="2"/>
      </rPr>
      <t xml:space="preserve">支援 </t>
    </r>
    <r>
      <rPr>
        <sz val="9"/>
        <color rgb="FF1A1F26"/>
        <rFont val="Arial"/>
        <family val="0"/>
        <charset val="1"/>
      </rPr>
      <t xml:space="preserve">user_id </t>
    </r>
    <r>
      <rPr>
        <sz val="9"/>
        <color rgb="FF1A1F26"/>
        <rFont val="Noto Sans CJK SC"/>
        <family val="2"/>
      </rPr>
      <t xml:space="preserve">或 </t>
    </r>
    <r>
      <rPr>
        <sz val="9"/>
        <color rgb="FF1A1F26"/>
        <rFont val="Arial"/>
        <family val="0"/>
        <charset val="1"/>
      </rPr>
      <t xml:space="preserve">external_email</t>
    </r>
  </si>
  <si>
    <t xml:space="preserve">欄位：會議備註</t>
  </si>
  <si>
    <t xml:space="preserve">描述或備註</t>
  </si>
  <si>
    <t xml:space="preserve">reservations.description / purpose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</si>
  <si>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補上 </t>
    </r>
    <r>
      <rPr>
        <sz val="9"/>
        <color rgb="FF1A1F26"/>
        <rFont val="Arial"/>
        <family val="0"/>
        <charset val="1"/>
      </rPr>
      <t xml:space="preserve">description</t>
    </r>
  </si>
  <si>
    <t xml:space="preserve">§2.2</t>
  </si>
  <si>
    <t xml:space="preserve">衝突檢測</t>
  </si>
  <si>
    <t xml:space="preserve">與現有預約自動碰撞檢測</t>
  </si>
  <si>
    <t xml:space="preserve">EXCLUDE USING gist(tenant_id,resource_id,time_range)</t>
  </si>
  <si>
    <t xml:space="preserve">資料庫層排他約束，任何併發下皆正確</t>
  </si>
  <si>
    <t xml:space="preserve">兩階段佔位</t>
  </si>
  <si>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Offision </t>
    </r>
    <r>
      <rPr>
        <sz val="9"/>
        <color rgb="FF1A1F26"/>
        <rFont val="Noto Sans CJK SC"/>
        <family val="2"/>
      </rPr>
      <t xml:space="preserve">無明確對應）</t>
    </r>
  </si>
  <si>
    <r>
      <rPr>
        <sz val="9"/>
        <color rgb="FF1A1F26"/>
        <rFont val="Arial"/>
        <family val="0"/>
        <charset val="1"/>
      </rPr>
      <t xml:space="preserve">reservation_holds + GiST </t>
    </r>
    <r>
      <rPr>
        <sz val="9"/>
        <color rgb="FF1A1F26"/>
        <rFont val="Noto Sans CJK SC"/>
        <family val="2"/>
      </rPr>
      <t xml:space="preserve">排他</t>
    </r>
  </si>
  <si>
    <t xml:space="preserve">POST /reservations/holds</t>
  </si>
  <si>
    <t xml:space="preserve">填表期間不被搶走</t>
  </si>
  <si>
    <t xml:space="preserve">編輯／刪除預約</t>
  </si>
  <si>
    <t xml:space="preserve">開始前可隨時修改</t>
  </si>
  <si>
    <r>
      <rPr>
        <sz val="9"/>
        <color rgb="FF1A1F26"/>
        <rFont val="Arial"/>
        <family val="0"/>
        <charset val="1"/>
      </rPr>
      <t xml:space="preserve">reservations(version </t>
    </r>
    <r>
      <rPr>
        <sz val="9"/>
        <color rgb="FF1A1F26"/>
        <rFont val="Noto Sans CJK SC"/>
        <family val="2"/>
      </rPr>
      <t xml:space="preserve">樂觀鎖</t>
    </r>
    <r>
      <rPr>
        <sz val="9"/>
        <color rgb="FF1A1F26"/>
        <rFont val="Arial"/>
        <family val="0"/>
        <charset val="1"/>
      </rPr>
      <t xml:space="preserve">)</t>
    </r>
  </si>
  <si>
    <t xml:space="preserve">PATCH / DELETE /reservations/{id}</t>
  </si>
  <si>
    <t xml:space="preserve">§2.3.1</t>
  </si>
  <si>
    <t xml:space="preserve">檢視</t>
  </si>
  <si>
    <t xml:space="preserve">主頁時間軸</t>
  </si>
  <si>
    <t xml:space="preserve">今日預約時間軸</t>
  </si>
  <si>
    <t xml:space="preserve">GET /reservations?from&amp;to</t>
  </si>
  <si>
    <t xml:space="preserve">§2.3.2</t>
  </si>
  <si>
    <t xml:space="preserve">即時平面圖</t>
  </si>
  <si>
    <t xml:space="preserve">互動平面圖即時顯示使用狀態</t>
  </si>
  <si>
    <t xml:space="preserve">spatial_nodes.geometry / floor_plan_attachment_id</t>
  </si>
  <si>
    <t xml:space="preserve">GET /facilities/{id}/floor-view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</si>
  <si>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補上樓層圖檔關聯；需 </t>
    </r>
    <r>
      <rPr>
        <sz val="9"/>
        <color rgb="FF1A1F26"/>
        <rFont val="Arial"/>
        <family val="0"/>
        <charset val="1"/>
      </rPr>
      <t xml:space="preserve">floor-view </t>
    </r>
    <r>
      <rPr>
        <sz val="9"/>
        <color rgb="FF1A1F26"/>
        <rFont val="Noto Sans CJK SC"/>
        <family val="2"/>
      </rPr>
      <t xml:space="preserve">聚合 </t>
    </r>
    <r>
      <rPr>
        <sz val="9"/>
        <color rgb="FF1A1F26"/>
        <rFont val="Arial"/>
        <family val="0"/>
        <charset val="1"/>
      </rPr>
      <t xml:space="preserve">API</t>
    </r>
  </si>
  <si>
    <t xml:space="preserve">地圖：樓層切換</t>
  </si>
  <si>
    <t xml:space="preserve">下拉選單切換樓層</t>
  </si>
  <si>
    <t xml:space="preserve">spatial_nodes.floor_level / floor_label</t>
  </si>
  <si>
    <t xml:space="preserve">GET spatial-nodes?floor_level</t>
  </si>
  <si>
    <r>
      <rPr>
        <sz val="9"/>
        <color rgb="FF1A1F26"/>
        <rFont val="Arial"/>
        <family val="0"/>
        <charset val="1"/>
      </rPr>
      <t xml:space="preserve">floor_level </t>
    </r>
    <r>
      <rPr>
        <sz val="9"/>
        <color rgb="FF1A1F26"/>
        <rFont val="Noto Sans CJK SC"/>
        <family val="2"/>
      </rPr>
      <t xml:space="preserve">為可排序整數（</t>
    </r>
    <r>
      <rPr>
        <sz val="9"/>
        <color rgb="FF1A1F26"/>
        <rFont val="Arial"/>
        <family val="0"/>
        <charset val="1"/>
      </rPr>
      <t xml:space="preserve">-1=B1</t>
    </r>
    <r>
      <rPr>
        <sz val="9"/>
        <color rgb="FF1A1F26"/>
        <rFont val="Noto Sans CJK SC"/>
        <family val="2"/>
      </rPr>
      <t xml:space="preserve">）</t>
    </r>
  </si>
  <si>
    <t xml:space="preserve">地圖：搜尋人／部門／資源</t>
  </si>
  <si>
    <t xml:space="preserve">高亮顯示搜尋結果</t>
  </si>
  <si>
    <t xml:space="preserve">users(trgm) / organizations / spatial_nodes(trgm)</t>
  </si>
  <si>
    <t xml:space="preserve">GET /search?q=</t>
  </si>
  <si>
    <r>
      <rPr>
        <sz val="9"/>
        <color rgb="FF1A1F26"/>
        <rFont val="Noto Sans CJK SC"/>
        <family val="2"/>
      </rPr>
      <t xml:space="preserve">需統一搜尋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聚合三類實體</t>
    </r>
  </si>
  <si>
    <t xml:space="preserve">地圖：容量篩選</t>
  </si>
  <si>
    <t xml:space="preserve">按容納人數篩選</t>
  </si>
  <si>
    <t xml:space="preserve">bookable_resources.capacity</t>
  </si>
  <si>
    <t xml:space="preserve">地圖：設施篩選</t>
  </si>
  <si>
    <r>
      <rPr>
        <sz val="9"/>
        <color rgb="FF1A1F26"/>
        <rFont val="Noto Sans CJK SC"/>
        <family val="2"/>
      </rPr>
      <t xml:space="preserve">投影機／螢幕／</t>
    </r>
    <r>
      <rPr>
        <sz val="9"/>
        <color rgb="FF1A1F26"/>
        <rFont val="Arial"/>
        <family val="0"/>
        <charset val="1"/>
      </rPr>
      <t xml:space="preserve">Wi-Fi</t>
    </r>
    <r>
      <rPr>
        <sz val="9"/>
        <color rgb="FF1A1F26"/>
        <rFont val="Noto Sans CJK SC"/>
        <family val="2"/>
      </rPr>
      <t xml:space="preserve">／視訊／電視／麥克風</t>
    </r>
  </si>
  <si>
    <t xml:space="preserve">amenities / resource_amenities</t>
  </si>
  <si>
    <t xml:space="preserve">GET availability?amenities=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</si>
  <si>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已補字典與 </t>
    </r>
    <r>
      <rPr>
        <sz val="9"/>
        <color rgb="FF1A1F26"/>
        <rFont val="Arial"/>
        <family val="0"/>
        <charset val="1"/>
      </rPr>
      <t xml:space="preserve">join </t>
    </r>
    <r>
      <rPr>
        <sz val="9"/>
        <color rgb="FF1A1F26"/>
        <rFont val="Noto Sans CJK SC"/>
        <family val="2"/>
      </rPr>
      <t xml:space="preserve">表（含 </t>
    </r>
    <r>
      <rPr>
        <sz val="9"/>
        <color rgb="FF1A1F26"/>
        <rFont val="Arial"/>
        <family val="0"/>
        <charset val="1"/>
      </rPr>
      <t xml:space="preserve">24 </t>
    </r>
    <r>
      <rPr>
        <sz val="9"/>
        <color rgb="FF1A1F26"/>
        <rFont val="Noto Sans CJK SC"/>
        <family val="2"/>
      </rPr>
      <t xml:space="preserve">項平台預設）</t>
    </r>
  </si>
  <si>
    <t xml:space="preserve">地圖：時間滑桿</t>
  </si>
  <si>
    <t xml:space="preserve">查看未來時間點的使用狀態</t>
  </si>
  <si>
    <t xml:space="preserve">GET availability?at=</t>
  </si>
  <si>
    <t xml:space="preserve">地圖：狀態圖例</t>
  </si>
  <si>
    <t xml:space="preserve">可用／使用中／不可用</t>
  </si>
  <si>
    <t xml:space="preserve">spatial_nodes.status / reservations</t>
  </si>
  <si>
    <t xml:space="preserve">GET floor-view</t>
  </si>
  <si>
    <t xml:space="preserve">§2.3.3</t>
  </si>
  <si>
    <t xml:space="preserve">資源搜尋器</t>
  </si>
  <si>
    <r>
      <rPr>
        <sz val="9"/>
        <color rgb="FF1A1F26"/>
        <rFont val="Noto Sans CJK SC"/>
        <family val="2"/>
      </rPr>
      <t xml:space="preserve">可用時段篩選、</t>
    </r>
    <r>
      <rPr>
        <sz val="9"/>
        <color rgb="FF1A1F26"/>
        <rFont val="Arial"/>
        <family val="0"/>
        <charset val="1"/>
      </rPr>
      <t xml:space="preserve">Grid/List</t>
    </r>
    <r>
      <rPr>
        <sz val="9"/>
        <color rgb="FF1A1F26"/>
        <rFont val="Noto Sans CJK SC"/>
        <family val="2"/>
      </rPr>
      <t xml:space="preserve">、類型篩選</t>
    </r>
  </si>
  <si>
    <t xml:space="preserve">bookable_resources</t>
  </si>
  <si>
    <t xml:space="preserve">GET availability</t>
  </si>
  <si>
    <t xml:space="preserve">資源收藏</t>
  </si>
  <si>
    <t xml:space="preserve">只顯示已收藏的資源</t>
  </si>
  <si>
    <t xml:space="preserve">user_favorites</t>
  </si>
  <si>
    <t xml:space="preserve">POST /users/me/favorites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</si>
  <si>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已補表</t>
    </r>
  </si>
  <si>
    <t xml:space="preserve">§2.3.4</t>
  </si>
  <si>
    <t xml:space="preserve">資源日曆</t>
  </si>
  <si>
    <r>
      <rPr>
        <sz val="9"/>
        <color rgb="FF1A1F26"/>
        <rFont val="Noto Sans CJK SC"/>
        <family val="2"/>
      </rPr>
      <t xml:space="preserve">多房間並排欄位、每頁 </t>
    </r>
    <r>
      <rPr>
        <sz val="9"/>
        <color rgb="FF1A1F26"/>
        <rFont val="Arial"/>
        <family val="0"/>
        <charset val="1"/>
      </rPr>
      <t xml:space="preserve">9 </t>
    </r>
    <r>
      <rPr>
        <sz val="9"/>
        <color rgb="FF1A1F26"/>
        <rFont val="Noto Sans CJK SC"/>
        <family val="2"/>
      </rPr>
      <t xml:space="preserve">間可翻頁</t>
    </r>
  </si>
  <si>
    <t xml:space="preserve">reservations / bookable_resources</t>
  </si>
  <si>
    <t xml:space="preserve">GET availability?resource_ids=</t>
  </si>
  <si>
    <t xml:space="preserve">§2.3.5</t>
  </si>
  <si>
    <t xml:space="preserve">我的日曆</t>
  </si>
  <si>
    <t xml:space="preserve">僅顯示自己的預約，週／月切換</t>
  </si>
  <si>
    <t xml:space="preserve">GET /reservations?mine=true</t>
  </si>
  <si>
    <t xml:space="preserve">§2.4</t>
  </si>
  <si>
    <t xml:space="preserve">整合</t>
  </si>
  <si>
    <r>
      <rPr>
        <b val="true"/>
        <sz val="9"/>
        <color rgb="FF1A1F26"/>
        <rFont val="Arial"/>
        <family val="0"/>
        <charset val="1"/>
      </rPr>
      <t xml:space="preserve">Microsoft Teams </t>
    </r>
    <r>
      <rPr>
        <b val="true"/>
        <sz val="9"/>
        <color rgb="FF1A1F26"/>
        <rFont val="Noto Sans CJK SC"/>
        <family val="2"/>
      </rPr>
      <t xml:space="preserve">會議連結</t>
    </r>
  </si>
  <si>
    <t xml:space="preserve">預約時自動建立線上會議</t>
  </si>
  <si>
    <t xml:space="preserve">integrations / reservations.online_meeting_*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</si>
  <si>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已補欄位與 </t>
    </r>
    <r>
      <rPr>
        <sz val="9"/>
        <color rgb="FF1A1F26"/>
        <rFont val="Arial"/>
        <family val="0"/>
        <charset val="1"/>
      </rPr>
      <t xml:space="preserve">integrations</t>
    </r>
    <r>
      <rPr>
        <sz val="9"/>
        <color rgb="FF1A1F26"/>
        <rFont val="Noto Sans CJK SC"/>
        <family val="2"/>
      </rPr>
      <t xml:space="preserve">；需 </t>
    </r>
    <r>
      <rPr>
        <sz val="9"/>
        <color rgb="FF1A1F26"/>
        <rFont val="Arial"/>
        <family val="0"/>
        <charset val="1"/>
      </rPr>
      <t xml:space="preserve">Graph API </t>
    </r>
    <r>
      <rPr>
        <sz val="9"/>
        <color rgb="FF1A1F26"/>
        <rFont val="Noto Sans CJK SC"/>
        <family val="2"/>
      </rPr>
      <t xml:space="preserve">串接</t>
    </r>
  </si>
  <si>
    <t xml:space="preserve">Google Meet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</si>
  <si>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Google Calendar API </t>
    </r>
    <r>
      <rPr>
        <sz val="9"/>
        <color rgb="FF1A1F26"/>
        <rFont val="Noto Sans CJK SC"/>
        <family val="2"/>
      </rPr>
      <t xml:space="preserve">串接</t>
    </r>
  </si>
  <si>
    <t xml:space="preserve">Zoom</t>
  </si>
  <si>
    <t xml:space="preserve">integrations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</si>
  <si>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Zoom API </t>
    </r>
    <r>
      <rPr>
        <sz val="9"/>
        <color rgb="FF1A1F26"/>
        <rFont val="Noto Sans CJK SC"/>
        <family val="2"/>
      </rPr>
      <t xml:space="preserve">串接</t>
    </r>
  </si>
  <si>
    <t xml:space="preserve">Cisco Webex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</si>
  <si>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Webex API </t>
    </r>
    <r>
      <rPr>
        <sz val="9"/>
        <color rgb="FF1A1F26"/>
        <rFont val="Noto Sans CJK SC"/>
        <family val="2"/>
      </rPr>
      <t xml:space="preserve">串接</t>
    </r>
  </si>
  <si>
    <r>
      <rPr>
        <b val="true"/>
        <sz val="9"/>
        <color rgb="FF1A1F26"/>
        <rFont val="Arial"/>
        <family val="0"/>
        <charset val="1"/>
      </rPr>
      <t xml:space="preserve">M365 </t>
    </r>
    <r>
      <rPr>
        <b val="true"/>
        <sz val="9"/>
        <color rgb="FF1A1F26"/>
        <rFont val="Noto Sans CJK SC"/>
        <family val="2"/>
      </rPr>
      <t xml:space="preserve">聯絡人</t>
    </r>
  </si>
  <si>
    <r>
      <rPr>
        <sz val="9"/>
        <color rgb="FF1A1F26"/>
        <rFont val="Noto Sans CJK SC"/>
        <family val="2"/>
      </rPr>
      <t xml:space="preserve">與會者從 </t>
    </r>
    <r>
      <rPr>
        <sz val="9"/>
        <color rgb="FF1A1F26"/>
        <rFont val="Arial"/>
        <family val="0"/>
        <charset val="1"/>
      </rPr>
      <t xml:space="preserve">M365 </t>
    </r>
    <r>
      <rPr>
        <sz val="9"/>
        <color rgb="FF1A1F26"/>
        <rFont val="Noto Sans CJK SC"/>
        <family val="2"/>
      </rPr>
      <t xml:space="preserve">通訊錄挑選</t>
    </r>
  </si>
  <si>
    <t xml:space="preserve">integrations(MS_365_CONTACTS)</t>
  </si>
  <si>
    <t xml:space="preserve">GET /contacts/search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</si>
  <si>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Graph </t>
    </r>
    <r>
      <rPr>
        <sz val="9"/>
        <color rgb="FF1A1F26"/>
        <rFont val="Noto Sans CJK SC"/>
        <family val="2"/>
      </rPr>
      <t xml:space="preserve">人員查詢代理</t>
    </r>
  </si>
  <si>
    <t xml:space="preserve">外部行事曆雙向同步</t>
  </si>
  <si>
    <r>
      <rPr>
        <sz val="9"/>
        <color rgb="FF1A1F26"/>
        <rFont val="Noto Sans CJK SC"/>
        <family val="2"/>
      </rPr>
      <t xml:space="preserve">預約同步至 </t>
    </r>
    <r>
      <rPr>
        <sz val="9"/>
        <color rgb="FF1A1F26"/>
        <rFont val="Arial"/>
        <family val="0"/>
        <charset val="1"/>
      </rPr>
      <t xml:space="preserve">Exchange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Google</t>
    </r>
  </si>
  <si>
    <t xml:space="preserve">reservations.external_sync_state / external_calendar_provider</t>
  </si>
  <si>
    <t xml:space="preserve">背景作業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</si>
  <si>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已補同步狀態欄位；同步器需另行實作</t>
    </r>
  </si>
  <si>
    <t xml:space="preserve">§2.5</t>
  </si>
  <si>
    <t xml:space="preserve">天氣顯示</t>
  </si>
  <si>
    <t xml:space="preserve">當地即時天氣</t>
  </si>
  <si>
    <t xml:space="preserve">GET /widgets/weather</t>
  </si>
  <si>
    <r>
      <rPr>
        <sz val="9"/>
        <color rgb="FF1A1F26"/>
        <rFont val="Noto Sans CJK SC"/>
        <family val="2"/>
      </rPr>
      <t xml:space="preserve">外部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代理，與 </t>
    </r>
    <r>
      <rPr>
        <sz val="9"/>
        <color rgb="FF1A1F26"/>
        <rFont val="Arial"/>
        <family val="0"/>
        <charset val="1"/>
      </rPr>
      <t xml:space="preserve">FMS </t>
    </r>
    <r>
      <rPr>
        <sz val="9"/>
        <color rgb="FF1A1F26"/>
        <rFont val="Noto Sans CJK SC"/>
        <family val="2"/>
      </rPr>
      <t xml:space="preserve">資料無關</t>
    </r>
  </si>
  <si>
    <r>
      <rPr>
        <b val="true"/>
        <sz val="9"/>
        <color rgb="FF1A1F26"/>
        <rFont val="Noto Sans CJK SC"/>
        <family val="2"/>
      </rPr>
      <t xml:space="preserve">掃描 </t>
    </r>
    <r>
      <rPr>
        <b val="true"/>
        <sz val="9"/>
        <color rgb="FF1A1F26"/>
        <rFont val="Arial"/>
        <family val="0"/>
        <charset val="1"/>
      </rPr>
      <t xml:space="preserve">QR </t>
    </r>
    <r>
      <rPr>
        <b val="true"/>
        <sz val="9"/>
        <color rgb="FF1A1F26"/>
        <rFont val="Noto Sans CJK SC"/>
        <family val="2"/>
      </rPr>
      <t xml:space="preserve">快速預約</t>
    </r>
  </si>
  <si>
    <t xml:space="preserve">掃碼找到並預約對應資源</t>
  </si>
  <si>
    <t xml:space="preserve">spatial_nodes.qr_payload / bookable_resources.qr_payload</t>
  </si>
  <si>
    <t xml:space="preserve">GET /resolve-qr?payload=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</si>
  <si>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已補欄位與唯一索引</t>
    </r>
  </si>
  <si>
    <t xml:space="preserve">擴充功能管理</t>
  </si>
  <si>
    <r>
      <rPr>
        <sz val="9"/>
        <color rgb="FF1A1F26"/>
        <rFont val="Noto Sans CJK SC"/>
        <family val="2"/>
      </rPr>
      <t xml:space="preserve">管理 </t>
    </r>
    <r>
      <rPr>
        <sz val="9"/>
        <color rgb="FF1A1F26"/>
        <rFont val="Arial"/>
        <family val="0"/>
        <charset val="1"/>
      </rPr>
      <t xml:space="preserve">Teams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M365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Meet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Zoom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Webex </t>
    </r>
    <r>
      <rPr>
        <sz val="9"/>
        <color rgb="FF1A1F26"/>
        <rFont val="Noto Sans CJK SC"/>
        <family val="2"/>
      </rPr>
      <t xml:space="preserve">整合</t>
    </r>
  </si>
  <si>
    <t xml:space="preserve">integrations / integration_user_grants</t>
  </si>
  <si>
    <t xml:space="preserve">GET/POST /integrations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</si>
  <si>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已補；需設定與授權 </t>
    </r>
    <r>
      <rPr>
        <sz val="9"/>
        <color rgb="FF1A1F26"/>
        <rFont val="Arial"/>
        <family val="0"/>
        <charset val="1"/>
      </rPr>
      <t xml:space="preserve">UI </t>
    </r>
    <r>
      <rPr>
        <sz val="9"/>
        <color rgb="FF1A1F26"/>
        <rFont val="Noto Sans CJK SC"/>
        <family val="2"/>
      </rPr>
      <t xml:space="preserve">的 </t>
    </r>
    <r>
      <rPr>
        <sz val="9"/>
        <color rgb="FF1A1F26"/>
        <rFont val="Arial"/>
        <family val="0"/>
        <charset val="1"/>
      </rPr>
      <t xml:space="preserve">API</t>
    </r>
  </si>
  <si>
    <t xml:space="preserve">通知（審批結果）</t>
  </si>
  <si>
    <t xml:space="preserve">預約審批結果通知</t>
  </si>
  <si>
    <t xml:space="preserve">notifications / notification_templates</t>
  </si>
  <si>
    <t xml:space="preserve">GET /notifications</t>
  </si>
  <si>
    <t xml:space="preserve">§2.6.1</t>
  </si>
  <si>
    <t xml:space="preserve">帳號</t>
  </si>
  <si>
    <t xml:space="preserve">密碼更改</t>
  </si>
  <si>
    <t xml:space="preserve">本地帳號改密碼</t>
  </si>
  <si>
    <t xml:space="preserve">users.password_hash</t>
  </si>
  <si>
    <t xml:space="preserve">POST /auth/password/change</t>
  </si>
  <si>
    <t xml:space="preserve">argon2id</t>
  </si>
  <si>
    <r>
      <rPr>
        <b val="true"/>
        <sz val="9"/>
        <color rgb="FF1A1F26"/>
        <rFont val="Noto Sans CJK SC"/>
        <family val="2"/>
      </rPr>
      <t xml:space="preserve">雙重驗證 </t>
    </r>
    <r>
      <rPr>
        <b val="true"/>
        <sz val="9"/>
        <color rgb="FF1A1F26"/>
        <rFont val="Arial"/>
        <family val="0"/>
        <charset val="1"/>
      </rPr>
      <t xml:space="preserve">2FA</t>
    </r>
  </si>
  <si>
    <r>
      <rPr>
        <sz val="9"/>
        <color rgb="FF1A1F26"/>
        <rFont val="Arial"/>
        <family val="0"/>
        <charset val="1"/>
      </rPr>
      <t xml:space="preserve">TOTP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SMS </t>
    </r>
    <r>
      <rPr>
        <sz val="9"/>
        <color rgb="FF1A1F26"/>
        <rFont val="Noto Sans CJK SC"/>
        <family val="2"/>
      </rPr>
      <t xml:space="preserve">二階段驗證</t>
    </r>
  </si>
  <si>
    <t xml:space="preserve">user_mfa_factors</t>
  </si>
  <si>
    <t xml:space="preserve">POST /auth/mfa/enroll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</si>
  <si>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已補因子表（種子只存 </t>
    </r>
    <r>
      <rPr>
        <sz val="9"/>
        <color rgb="FF1A1F26"/>
        <rFont val="Arial"/>
        <family val="0"/>
        <charset val="1"/>
      </rPr>
      <t xml:space="preserve">ref</t>
    </r>
    <r>
      <rPr>
        <sz val="9"/>
        <color rgb="FF1A1F26"/>
        <rFont val="Noto Sans CJK SC"/>
        <family val="2"/>
      </rPr>
      <t xml:space="preserve">）；需 </t>
    </r>
    <r>
      <rPr>
        <sz val="9"/>
        <color rgb="FF1A1F26"/>
        <rFont val="Arial"/>
        <family val="0"/>
        <charset val="1"/>
      </rPr>
      <t xml:space="preserve">TOTP </t>
    </r>
    <r>
      <rPr>
        <sz val="9"/>
        <color rgb="FF1A1F26"/>
        <rFont val="Noto Sans CJK SC"/>
        <family val="2"/>
      </rPr>
      <t xml:space="preserve">驗證流程</t>
    </r>
  </si>
  <si>
    <t xml:space="preserve">可信任裝置管理</t>
  </si>
  <si>
    <t xml:space="preserve">記住裝置、可撤銷</t>
  </si>
  <si>
    <t xml:space="preserve">user_trusted_devices</t>
  </si>
  <si>
    <t xml:space="preserve">GET/DELETE /auth/trusted-devices</t>
  </si>
  <si>
    <t xml:space="preserve">手機號碼設定</t>
  </si>
  <si>
    <t xml:space="preserve">綁定手機</t>
  </si>
  <si>
    <t xml:space="preserve">users.phone</t>
  </si>
  <si>
    <t xml:space="preserve">PATCH /users/me</t>
  </si>
  <si>
    <t xml:space="preserve">§2.6.2</t>
  </si>
  <si>
    <t xml:space="preserve">偏好：字體大小</t>
  </si>
  <si>
    <t xml:space="preserve">字級調整</t>
  </si>
  <si>
    <t xml:space="preserve">users.ui_preferences.font_scale</t>
  </si>
  <si>
    <t xml:space="preserve">PATCH /users/me/preferences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</si>
  <si>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 </t>
    </r>
    <r>
      <rPr>
        <sz val="9"/>
        <color rgb="FF1A1F26"/>
        <rFont val="Arial"/>
        <family val="0"/>
        <charset val="1"/>
      </rPr>
      <t xml:space="preserve">ui_preferences</t>
    </r>
  </si>
  <si>
    <t xml:space="preserve">偏好：時間格式</t>
  </si>
  <si>
    <r>
      <rPr>
        <sz val="9"/>
        <color rgb="FF1A1F26"/>
        <rFont val="Arial"/>
        <family val="0"/>
        <charset val="1"/>
      </rPr>
      <t xml:space="preserve">12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24 </t>
    </r>
    <r>
      <rPr>
        <sz val="9"/>
        <color rgb="FF1A1F26"/>
        <rFont val="Noto Sans CJK SC"/>
        <family val="2"/>
      </rPr>
      <t xml:space="preserve">小時</t>
    </r>
  </si>
  <si>
    <t xml:space="preserve">users.ui_preferences.time_format</t>
  </si>
  <si>
    <t xml:space="preserve">偏好：深色／淺色</t>
  </si>
  <si>
    <t xml:space="preserve">主題模式</t>
  </si>
  <si>
    <t xml:space="preserve">users.ui_preferences.theme</t>
  </si>
  <si>
    <t xml:space="preserve">偏好：主題顏色</t>
  </si>
  <si>
    <t xml:space="preserve">自訂色調</t>
  </si>
  <si>
    <t xml:space="preserve">users.ui_preferences.accent_color</t>
  </si>
  <si>
    <t xml:space="preserve">§3.1.1</t>
  </si>
  <si>
    <t xml:space="preserve">管理端</t>
  </si>
  <si>
    <r>
      <rPr>
        <b val="true"/>
        <sz val="9"/>
        <color rgb="FF1A1F26"/>
        <rFont val="Arial"/>
        <family val="0"/>
        <charset val="1"/>
      </rPr>
      <t xml:space="preserve">Dashboard </t>
    </r>
    <r>
      <rPr>
        <b val="true"/>
        <sz val="9"/>
        <color rgb="FF1A1F26"/>
        <rFont val="Noto Sans CJK SC"/>
        <family val="2"/>
      </rPr>
      <t xml:space="preserve">日期範圍篩選</t>
    </r>
  </si>
  <si>
    <t xml:space="preserve">自訂期間</t>
  </si>
  <si>
    <t xml:space="preserve">reservations(idx_reservations_facility_time)</t>
  </si>
  <si>
    <t xml:space="preserve">GET /reports/facility-dashboard</t>
  </si>
  <si>
    <r>
      <rPr>
        <b val="true"/>
        <sz val="9"/>
        <color rgb="FF1A1F26"/>
        <rFont val="Arial"/>
        <family val="0"/>
        <charset val="1"/>
      </rPr>
      <t xml:space="preserve">Dashboard </t>
    </r>
    <r>
      <rPr>
        <b val="true"/>
        <sz val="9"/>
        <color rgb="FF1A1F26"/>
        <rFont val="Noto Sans CJK SC"/>
        <family val="2"/>
      </rPr>
      <t xml:space="preserve">樓層篩選</t>
    </r>
  </si>
  <si>
    <t xml:space="preserve">所有／特定樓層</t>
  </si>
  <si>
    <t xml:space="preserve">spatial_nodes.floor_level</t>
  </si>
  <si>
    <r>
      <rPr>
        <b val="true"/>
        <sz val="9"/>
        <color rgb="FF1A1F26"/>
        <rFont val="Arial"/>
        <family val="0"/>
        <charset val="1"/>
      </rPr>
      <t xml:space="preserve">Dashboard </t>
    </r>
    <r>
      <rPr>
        <b val="true"/>
        <sz val="9"/>
        <color rgb="FF1A1F26"/>
        <rFont val="Noto Sans CJK SC"/>
        <family val="2"/>
      </rPr>
      <t xml:space="preserve">資源類型分頁</t>
    </r>
  </si>
  <si>
    <t xml:space="preserve">總合／房間／桌／設備／車位／其他</t>
  </si>
  <si>
    <t xml:space="preserve">bookable_resources.resource_type / node_type_code</t>
  </si>
  <si>
    <t xml:space="preserve">§3.1.2</t>
  </si>
  <si>
    <r>
      <rPr>
        <b val="true"/>
        <sz val="9"/>
        <color rgb="FF1A1F26"/>
        <rFont val="Arial"/>
        <family val="0"/>
        <charset val="1"/>
      </rPr>
      <t xml:space="preserve">KPI</t>
    </r>
    <r>
      <rPr>
        <b val="true"/>
        <sz val="9"/>
        <color rgb="FF1A1F26"/>
        <rFont val="Noto Sans CJK SC"/>
        <family val="2"/>
      </rPr>
      <t xml:space="preserve">：資源數量</t>
    </r>
  </si>
  <si>
    <t xml:space="preserve">期間內可用資源總數</t>
  </si>
  <si>
    <r>
      <rPr>
        <b val="true"/>
        <sz val="9"/>
        <color rgb="FF1A1F26"/>
        <rFont val="Arial"/>
        <family val="0"/>
        <charset val="1"/>
      </rPr>
      <t xml:space="preserve">KPI</t>
    </r>
    <r>
      <rPr>
        <b val="true"/>
        <sz val="9"/>
        <color rgb="FF1A1F26"/>
        <rFont val="Noto Sans CJK SC"/>
        <family val="2"/>
      </rPr>
      <t xml:space="preserve">：預約總數</t>
    </r>
  </si>
  <si>
    <t xml:space="preserve">期間內預約筆數</t>
  </si>
  <si>
    <r>
      <rPr>
        <sz val="9"/>
        <color rgb="FF1A1F26"/>
        <rFont val="Noto Sans CJK SC"/>
        <family val="2"/>
      </rPr>
      <t xml:space="preserve">需排除 </t>
    </r>
    <r>
      <rPr>
        <sz val="9"/>
        <color rgb="FF1A1F26"/>
        <rFont val="Arial"/>
        <family val="0"/>
        <charset val="1"/>
      </rPr>
      <t xml:space="preserve">shadow </t>
    </r>
    <r>
      <rPr>
        <sz val="9"/>
        <color rgb="FF1A1F26"/>
        <rFont val="Noto Sans CJK SC"/>
        <family val="2"/>
      </rPr>
      <t xml:space="preserve">列（</t>
    </r>
    <r>
      <rPr>
        <sz val="9"/>
        <color rgb="FF1A1F26"/>
        <rFont val="Arial"/>
        <family val="0"/>
        <charset val="1"/>
      </rPr>
      <t xml:space="preserve">v_reservations_visible</t>
    </r>
    <r>
      <rPr>
        <sz val="9"/>
        <color rgb="FF1A1F26"/>
        <rFont val="Noto Sans CJK SC"/>
        <family val="2"/>
      </rPr>
      <t xml:space="preserve">）</t>
    </r>
  </si>
  <si>
    <r>
      <rPr>
        <b val="true"/>
        <sz val="9"/>
        <color rgb="FF1A1F26"/>
        <rFont val="Arial"/>
        <family val="0"/>
        <charset val="1"/>
      </rPr>
      <t xml:space="preserve">KPI</t>
    </r>
    <r>
      <rPr>
        <b val="true"/>
        <sz val="9"/>
        <color rgb="FF1A1F26"/>
        <rFont val="Noto Sans CJK SC"/>
        <family val="2"/>
      </rPr>
      <t xml:space="preserve">：總預約時間</t>
    </r>
  </si>
  <si>
    <t xml:space="preserve">預約總時數</t>
  </si>
  <si>
    <t xml:space="preserve">reservations.time_range</t>
  </si>
  <si>
    <r>
      <rPr>
        <b val="true"/>
        <sz val="9"/>
        <color rgb="FF1A1F26"/>
        <rFont val="Arial"/>
        <family val="0"/>
        <charset val="1"/>
      </rPr>
      <t xml:space="preserve">KPI</t>
    </r>
    <r>
      <rPr>
        <b val="true"/>
        <sz val="9"/>
        <color rgb="FF1A1F26"/>
        <rFont val="Noto Sans CJK SC"/>
        <family val="2"/>
      </rPr>
      <t xml:space="preserve">：資源使用率</t>
    </r>
  </si>
  <si>
    <t xml:space="preserve">已用時數／總可用時數</t>
  </si>
  <si>
    <t xml:space="preserve">reservations + facilities.operating_hours</t>
  </si>
  <si>
    <r>
      <rPr>
        <sz val="9"/>
        <color rgb="FF1A1F26"/>
        <rFont val="Noto Sans CJK SC"/>
        <family val="2"/>
      </rPr>
      <t xml:space="preserve">營業時間需自 </t>
    </r>
    <r>
      <rPr>
        <sz val="9"/>
        <color rgb="FF1A1F26"/>
        <rFont val="Arial"/>
        <family val="0"/>
        <charset val="1"/>
      </rPr>
      <t xml:space="preserve">operating_hours </t>
    </r>
    <r>
      <rPr>
        <sz val="9"/>
        <color rgb="FF1A1F26"/>
        <rFont val="Noto Sans CJK SC"/>
        <family val="2"/>
      </rPr>
      <t xml:space="preserve">推算</t>
    </r>
  </si>
  <si>
    <t xml:space="preserve">§3.1.3</t>
  </si>
  <si>
    <t xml:space="preserve">圖表：每小時使用率</t>
  </si>
  <si>
    <t xml:space="preserve">折線圖</t>
  </si>
  <si>
    <t xml:space="preserve">圖表：預約類型佔比</t>
  </si>
  <si>
    <r>
      <rPr>
        <sz val="9"/>
        <color rgb="FF1A1F26"/>
        <rFont val="Noto Sans CJK SC"/>
        <family val="2"/>
      </rPr>
      <t xml:space="preserve">一般／重複／即場（</t>
    </r>
    <r>
      <rPr>
        <sz val="9"/>
        <color rgb="FF1A1F26"/>
        <rFont val="Arial"/>
        <family val="0"/>
        <charset val="1"/>
      </rPr>
      <t xml:space="preserve">Walk-in</t>
    </r>
    <r>
      <rPr>
        <sz val="9"/>
        <color rgb="FF1A1F26"/>
        <rFont val="Noto Sans CJK SC"/>
        <family val="2"/>
      </rPr>
      <t xml:space="preserve">）環形圖</t>
    </r>
  </si>
  <si>
    <t xml:space="preserve">reservations.is_walk_in / recurrence_group_id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</si>
  <si>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 </t>
    </r>
    <r>
      <rPr>
        <sz val="9"/>
        <color rgb="FF1A1F26"/>
        <rFont val="Arial"/>
        <family val="0"/>
        <charset val="1"/>
      </rPr>
      <t xml:space="preserve">is_walk_in</t>
    </r>
    <r>
      <rPr>
        <sz val="9"/>
        <color rgb="FF1A1F26"/>
        <rFont val="Noto Sans CJK SC"/>
        <family val="2"/>
      </rPr>
      <t xml:space="preserve">；即場來自面板現場預約</t>
    </r>
  </si>
  <si>
    <t xml:space="preserve">圖表：預約長度分佈</t>
  </si>
  <si>
    <t xml:space="preserve">雷達圖，按時長分段</t>
  </si>
  <si>
    <t xml:space="preserve">圖表：使用分佈熱力圖</t>
  </si>
  <si>
    <r>
      <rPr>
        <sz val="9"/>
        <color rgb="FF1A1F26"/>
        <rFont val="Noto Sans CJK SC"/>
        <family val="2"/>
      </rPr>
      <t xml:space="preserve">時段 </t>
    </r>
    <r>
      <rPr>
        <sz val="9"/>
        <color rgb="FF1A1F26"/>
        <rFont val="Arial"/>
        <family val="0"/>
        <charset val="1"/>
      </rPr>
      <t xml:space="preserve">× </t>
    </r>
    <r>
      <rPr>
        <sz val="9"/>
        <color rgb="FF1A1F26"/>
        <rFont val="Noto Sans CJK SC"/>
        <family val="2"/>
      </rPr>
      <t xml:space="preserve">日期熱圖</t>
    </r>
  </si>
  <si>
    <t xml:space="preserve">§3.2.1</t>
  </si>
  <si>
    <t xml:space="preserve">管理日曆：快速新增</t>
  </si>
  <si>
    <t xml:space="preserve">管理員直接建立預約</t>
  </si>
  <si>
    <t xml:space="preserve">管理日曆：匯入預約</t>
  </si>
  <si>
    <t xml:space="preserve">從檔案批量匯入</t>
  </si>
  <si>
    <t xml:space="preserve">與系列匯入共用實作</t>
  </si>
  <si>
    <r>
      <rPr>
        <b val="true"/>
        <sz val="9"/>
        <color rgb="FF1A1F26"/>
        <rFont val="Noto Sans CJK SC"/>
        <family val="2"/>
      </rPr>
      <t xml:space="preserve">管理日曆：</t>
    </r>
    <r>
      <rPr>
        <b val="true"/>
        <sz val="9"/>
        <color rgb="FF1A1F26"/>
        <rFont val="Arial"/>
        <family val="0"/>
        <charset val="1"/>
      </rPr>
      <t xml:space="preserve">NOW </t>
    </r>
    <r>
      <rPr>
        <b val="true"/>
        <sz val="9"/>
        <color rgb="FF1A1F26"/>
        <rFont val="Noto Sans CJK SC"/>
        <family val="2"/>
      </rPr>
      <t xml:space="preserve">指示器</t>
    </r>
  </si>
  <si>
    <t xml:space="preserve">顯示即時當前時間線</t>
  </si>
  <si>
    <t xml:space="preserve">前端</t>
  </si>
  <si>
    <t xml:space="preserve">§3.2.3</t>
  </si>
  <si>
    <r>
      <rPr>
        <b val="true"/>
        <sz val="9"/>
        <color rgb="FF1A1F26"/>
        <rFont val="Noto Sans CJK SC"/>
        <family val="2"/>
      </rPr>
      <t xml:space="preserve">管理日曆：</t>
    </r>
    <r>
      <rPr>
        <b val="true"/>
        <sz val="9"/>
        <color rgb="FF1A1F26"/>
        <rFont val="Arial"/>
        <family val="0"/>
        <charset val="1"/>
      </rPr>
      <t xml:space="preserve">4 </t>
    </r>
    <r>
      <rPr>
        <b val="true"/>
        <sz val="9"/>
        <color rgb="FF1A1F26"/>
        <rFont val="Noto Sans CJK SC"/>
        <family val="2"/>
      </rPr>
      <t xml:space="preserve">種檢視</t>
    </r>
  </si>
  <si>
    <t xml:space="preserve">日／週／月／列表</t>
  </si>
  <si>
    <t xml:space="preserve">GET /reservations</t>
  </si>
  <si>
    <t xml:space="preserve">§3.2.2</t>
  </si>
  <si>
    <t xml:space="preserve">管理日曆：左側篩選</t>
  </si>
  <si>
    <t xml:space="preserve">迷你日曆／資源類型／位置／類別</t>
  </si>
  <si>
    <t xml:space="preserve">bookable_resources / spatial_nodes</t>
  </si>
  <si>
    <t xml:space="preserve">§3.3</t>
  </si>
  <si>
    <t xml:space="preserve">預約審批佇列</t>
  </si>
  <si>
    <t xml:space="preserve">待審批清單、批准／拒絕、結果通知</t>
  </si>
  <si>
    <t xml:space="preserve">reservations(PENDING_APPROVAL) / bookable_resources.requires_approval</t>
  </si>
  <si>
    <t xml:space="preserve">POST /reservations/{id}/approve|reject</t>
  </si>
  <si>
    <t xml:space="preserve">待審批期間仍佔用時段（正確行為）</t>
  </si>
  <si>
    <t xml:space="preserve">§3.4.1</t>
  </si>
  <si>
    <t xml:space="preserve">分析</t>
  </si>
  <si>
    <t xml:space="preserve">資源使用熱圖（平面圖）</t>
  </si>
  <si>
    <t xml:space="preserve">基於樓層圖的互動熱圖</t>
  </si>
  <si>
    <t xml:space="preserve">spatial_nodes.geometry / reservations</t>
  </si>
  <si>
    <t xml:space="preserve">GET /reports/space-utilization</t>
  </si>
  <si>
    <r>
      <rPr>
        <b val="true"/>
        <sz val="9"/>
        <color rgb="FF1A1F26"/>
        <rFont val="Noto Sans CJK SC"/>
        <family val="2"/>
      </rPr>
      <t xml:space="preserve">營業時間 </t>
    </r>
    <r>
      <rPr>
        <b val="true"/>
        <sz val="9"/>
        <color rgb="FF1A1F26"/>
        <rFont val="Arial"/>
        <family val="0"/>
        <charset val="1"/>
      </rPr>
      <t xml:space="preserve">vs </t>
    </r>
    <r>
      <rPr>
        <b val="true"/>
        <sz val="9"/>
        <color rgb="FF1A1F26"/>
        <rFont val="Noto Sans CJK SC"/>
        <family val="2"/>
      </rPr>
      <t xml:space="preserve">全日 </t>
    </r>
    <r>
      <rPr>
        <b val="true"/>
        <sz val="9"/>
        <color rgb="FF1A1F26"/>
        <rFont val="Arial"/>
        <family val="0"/>
        <charset val="1"/>
      </rPr>
      <t xml:space="preserve">24h </t>
    </r>
    <r>
      <rPr>
        <b val="true"/>
        <sz val="9"/>
        <color rgb="FF1A1F26"/>
        <rFont val="Noto Sans CJK SC"/>
        <family val="2"/>
      </rPr>
      <t xml:space="preserve">切換</t>
    </r>
  </si>
  <si>
    <t xml:space="preserve">分母切換</t>
  </si>
  <si>
    <t xml:space="preserve">facilities.operating_hours</t>
  </si>
  <si>
    <t xml:space="preserve">§3.4.2</t>
  </si>
  <si>
    <r>
      <rPr>
        <b val="true"/>
        <sz val="9"/>
        <color rgb="FF1A1F26"/>
        <rFont val="Noto Sans CJK SC"/>
        <family val="2"/>
      </rPr>
      <t xml:space="preserve">缺席分析 </t>
    </r>
    <r>
      <rPr>
        <b val="true"/>
        <sz val="9"/>
        <color rgb="FF1A1F26"/>
        <rFont val="Arial"/>
        <family val="0"/>
        <charset val="1"/>
      </rPr>
      <t xml:space="preserve">KPI</t>
    </r>
  </si>
  <si>
    <t xml:space="preserve">總缺席數、缺席率、影響最深資源</t>
  </si>
  <si>
    <t xml:space="preserve">reservations(NO_SHOW) / requires_check_in / auto_release_at</t>
  </si>
  <si>
    <t xml:space="preserve">GET /reports/no-show</t>
  </si>
  <si>
    <t xml:space="preserve">我方另有感測器自動報到與逾時自動釋放</t>
  </si>
  <si>
    <t xml:space="preserve">缺席排行（用戶／資源）</t>
  </si>
  <si>
    <t xml:space="preserve">排名可篩選匯出</t>
  </si>
  <si>
    <t xml:space="preserve">§3.4.3</t>
  </si>
  <si>
    <t xml:space="preserve">用戶資源使用月報</t>
  </si>
  <si>
    <t xml:space="preserve">按部門／用戶分組，可匯出</t>
  </si>
  <si>
    <t xml:space="preserve">reservations / users / organizations</t>
  </si>
  <si>
    <t xml:space="preserve">GET /reports/user-usage</t>
  </si>
  <si>
    <t xml:space="preserve">部門即組織樹節點</t>
  </si>
  <si>
    <t xml:space="preserve">§3.4.4</t>
  </si>
  <si>
    <r>
      <rPr>
        <b val="true"/>
        <sz val="9"/>
        <color rgb="FF1A1F26"/>
        <rFont val="Arial"/>
        <family val="0"/>
        <charset val="1"/>
      </rPr>
      <t xml:space="preserve">AI </t>
    </r>
    <r>
      <rPr>
        <b val="true"/>
        <sz val="9"/>
        <color rgb="FF1A1F26"/>
        <rFont val="Noto Sans CJK SC"/>
        <family val="2"/>
      </rPr>
      <t xml:space="preserve">自然語言查詢</t>
    </r>
  </si>
  <si>
    <r>
      <rPr>
        <sz val="9"/>
        <color rgb="FF1A1F26"/>
        <rFont val="Noto Sans CJK SC"/>
        <family val="2"/>
      </rPr>
      <t xml:space="preserve">對話式分析、保留問答歷史、</t>
    </r>
    <r>
      <rPr>
        <sz val="9"/>
        <color rgb="FF1A1F26"/>
        <rFont val="Arial"/>
        <family val="0"/>
        <charset val="1"/>
      </rPr>
      <t xml:space="preserve">250 </t>
    </r>
    <r>
      <rPr>
        <sz val="9"/>
        <color rgb="FF1A1F26"/>
        <rFont val="Noto Sans CJK SC"/>
        <family val="2"/>
      </rPr>
      <t xml:space="preserve">字限制</t>
    </r>
  </si>
  <si>
    <t xml:space="preserve">（資料齊備）</t>
  </si>
  <si>
    <t xml:space="preserve">POST /reports/ask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</si>
  <si>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LLM </t>
    </r>
    <r>
      <rPr>
        <sz val="9"/>
        <color rgb="FF1A1F26"/>
        <rFont val="Noto Sans CJK SC"/>
        <family val="2"/>
      </rPr>
      <t xml:space="preserve">層＋查詢白名單＋歷史表，建議第三階段</t>
    </r>
  </si>
  <si>
    <t xml:space="preserve">§3.4.5</t>
  </si>
  <si>
    <r>
      <rPr>
        <b val="true"/>
        <sz val="9"/>
        <color rgb="FF1A1F26"/>
        <rFont val="Noto Sans CJK SC"/>
        <family val="2"/>
      </rPr>
      <t xml:space="preserve">預約分析 </t>
    </r>
    <r>
      <rPr>
        <b val="true"/>
        <sz val="9"/>
        <color rgb="FF1A1F26"/>
        <rFont val="Arial"/>
        <family val="0"/>
        <charset val="1"/>
      </rPr>
      <t xml:space="preserve">7 </t>
    </r>
    <r>
      <rPr>
        <b val="true"/>
        <sz val="9"/>
        <color rgb="FF1A1F26"/>
        <rFont val="Noto Sans CJK SC"/>
        <family val="2"/>
      </rPr>
      <t xml:space="preserve">種視圖</t>
    </r>
  </si>
  <si>
    <t xml:space="preserve">時間軸／回顧地圖／用量地圖／每日熱圖／依資源／按時間／按用戶</t>
  </si>
  <si>
    <t xml:space="preserve">GET /reports/booking-analysis</t>
  </si>
  <si>
    <r>
      <rPr>
        <sz val="9"/>
        <color rgb="FF1A1F26"/>
        <rFont val="Noto Sans CJK SC"/>
        <family val="2"/>
      </rPr>
      <t xml:space="preserve">資料齊備，</t>
    </r>
    <r>
      <rPr>
        <sz val="9"/>
        <color rgb="FF1A1F26"/>
        <rFont val="Arial"/>
        <family val="0"/>
        <charset val="1"/>
      </rPr>
      <t xml:space="preserve">7 </t>
    </r>
    <r>
      <rPr>
        <sz val="9"/>
        <color rgb="FF1A1F26"/>
        <rFont val="Noto Sans CJK SC"/>
        <family val="2"/>
      </rPr>
      <t xml:space="preserve">視圖為查詢與前端組合</t>
    </r>
  </si>
  <si>
    <t xml:space="preserve">分析篩選：附屬設備</t>
  </si>
  <si>
    <t xml:space="preserve">按設備篩選分析</t>
  </si>
  <si>
    <t xml:space="preserve">resource_amenities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</si>
  <si>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補齊字典後可篩選</t>
    </r>
  </si>
  <si>
    <t xml:space="preserve">分析篩選：預約服務</t>
  </si>
  <si>
    <t xml:space="preserve">按附加服務篩選</t>
  </si>
  <si>
    <t xml:space="preserve">reservation_services / service_items</t>
  </si>
  <si>
    <t xml:space="preserve">分析篩選：維修組</t>
  </si>
  <si>
    <t xml:space="preserve">按團隊篩選</t>
  </si>
  <si>
    <t xml:space="preserve">teams</t>
  </si>
  <si>
    <t xml:space="preserve">§3.4.6</t>
  </si>
  <si>
    <t xml:space="preserve">績效：資源使用率</t>
  </si>
  <si>
    <t xml:space="preserve">實際／可用時數</t>
  </si>
  <si>
    <t xml:space="preserve">GET /reports/performance</t>
  </si>
  <si>
    <t xml:space="preserve">績效：缺席率</t>
  </si>
  <si>
    <t xml:space="preserve">未到場比率</t>
  </si>
  <si>
    <t xml:space="preserve">reservations(NO_SHOW)</t>
  </si>
  <si>
    <t xml:space="preserve">績效：平均預約時間</t>
  </si>
  <si>
    <t xml:space="preserve">平均時長</t>
  </si>
  <si>
    <t xml:space="preserve">績效：日常使用情況</t>
  </si>
  <si>
    <t xml:space="preserve">每資源每日概況</t>
  </si>
  <si>
    <t xml:space="preserve">績效：資源回收率</t>
  </si>
  <si>
    <r>
      <rPr>
        <sz val="9"/>
        <color rgb="FF1A1F26"/>
        <rFont val="Noto Sans CJK SC"/>
        <family val="2"/>
      </rPr>
      <t xml:space="preserve">衡量避免浪費（</t>
    </r>
    <r>
      <rPr>
        <sz val="9"/>
        <color rgb="FF1A1F26"/>
        <rFont val="Arial"/>
        <family val="0"/>
        <charset val="1"/>
      </rPr>
      <t xml:space="preserve">Offision </t>
    </r>
    <r>
      <rPr>
        <sz val="9"/>
        <color rgb="FF1A1F26"/>
        <rFont val="Noto Sans CJK SC"/>
        <family val="2"/>
      </rPr>
      <t xml:space="preserve">自訂定義）</t>
    </r>
  </si>
  <si>
    <t xml:space="preserve">reservations(cancelled_at / auto_release_at)</t>
  </si>
  <si>
    <t xml:space="preserve">需先與客戶確認定義；建議＝提前釋放後被再利用的時數比</t>
  </si>
  <si>
    <t xml:space="preserve">績效：資源重用率</t>
  </si>
  <si>
    <t xml:space="preserve">衡量重複利用（自訂定義）</t>
  </si>
  <si>
    <t xml:space="preserve">同上，需定義</t>
  </si>
  <si>
    <t xml:space="preserve">績效：資源共享率</t>
  </si>
  <si>
    <t xml:space="preserve">被多人共用的比率</t>
  </si>
  <si>
    <t xml:space="preserve">以參與者人數／容量推算</t>
  </si>
  <si>
    <t xml:space="preserve">績效：在線會議率</t>
  </si>
  <si>
    <t xml:space="preserve">線上會議佔比</t>
  </si>
  <si>
    <t xml:space="preserve">reservations.online_meeting_provider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</si>
  <si>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補欄位後可直接計算</t>
    </r>
  </si>
  <si>
    <t xml:space="preserve">績效：綜合評分</t>
  </si>
  <si>
    <r>
      <rPr>
        <sz val="9"/>
        <color rgb="FF1A1F26"/>
        <rFont val="Noto Sans CJK SC"/>
        <family val="2"/>
      </rPr>
      <t xml:space="preserve">加權公式（回收率</t>
    </r>
    <r>
      <rPr>
        <sz val="9"/>
        <color rgb="FF1A1F26"/>
        <rFont val="Arial"/>
        <family val="0"/>
        <charset val="1"/>
      </rPr>
      <t xml:space="preserve">×0.2</t>
    </r>
    <r>
      <rPr>
        <sz val="9"/>
        <color rgb="FF1A1F26"/>
        <rFont val="Noto Sans CJK SC"/>
        <family val="2"/>
      </rPr>
      <t xml:space="preserve">＋…＋使用率</t>
    </r>
    <r>
      <rPr>
        <sz val="9"/>
        <color rgb="FF1A1F26"/>
        <rFont val="Arial"/>
        <family val="0"/>
        <charset val="1"/>
      </rPr>
      <t xml:space="preserve">×0.25</t>
    </r>
    <r>
      <rPr>
        <sz val="9"/>
        <color rgb="FF1A1F26"/>
        <rFont val="Noto Sans CJK SC"/>
        <family val="2"/>
      </rPr>
      <t xml:space="preserve">）</t>
    </r>
  </si>
  <si>
    <t xml:space="preserve">公式需客戶確認後實作</t>
  </si>
  <si>
    <r>
      <rPr>
        <b val="true"/>
        <sz val="9"/>
        <color rgb="FF1A1F26"/>
        <rFont val="Noto Sans CJK SC"/>
        <family val="2"/>
      </rPr>
      <t xml:space="preserve">報告匯出 </t>
    </r>
    <r>
      <rPr>
        <b val="true"/>
        <sz val="9"/>
        <color rgb="FF1A1F26"/>
        <rFont val="Arial"/>
        <family val="0"/>
        <charset val="1"/>
      </rPr>
      <t xml:space="preserve">PDF</t>
    </r>
    <r>
      <rPr>
        <b val="true"/>
        <sz val="9"/>
        <color rgb="FF1A1F26"/>
        <rFont val="Noto Sans CJK SC"/>
        <family val="2"/>
      </rPr>
      <t xml:space="preserve">／</t>
    </r>
    <r>
      <rPr>
        <b val="true"/>
        <sz val="9"/>
        <color rgb="FF1A1F26"/>
        <rFont val="Arial"/>
        <family val="0"/>
        <charset val="1"/>
      </rPr>
      <t xml:space="preserve">Excel</t>
    </r>
  </si>
  <si>
    <t xml:space="preserve">可下載完整報告</t>
  </si>
  <si>
    <t xml:space="preserve">POST /reports/{code}:export</t>
  </si>
  <si>
    <t xml:space="preserve">非同步產檔</t>
  </si>
  <si>
    <r>
      <rPr>
        <b val="true"/>
        <sz val="9"/>
        <color rgb="FF1A1F26"/>
        <rFont val="Noto Sans CJK SC"/>
        <family val="2"/>
      </rPr>
      <t xml:space="preserve">排行榜前 </t>
    </r>
    <r>
      <rPr>
        <b val="true"/>
        <sz val="9"/>
        <color rgb="FF1A1F26"/>
        <rFont val="Arial"/>
        <family val="0"/>
        <charset val="1"/>
      </rPr>
      <t xml:space="preserve">10 </t>
    </r>
    <r>
      <rPr>
        <b val="true"/>
        <sz val="9"/>
        <color rgb="FF1A1F26"/>
        <rFont val="Noto Sans CJK SC"/>
        <family val="2"/>
      </rPr>
      <t xml:space="preserve">名資源</t>
    </r>
  </si>
  <si>
    <t xml:space="preserve">依各指標排名</t>
  </si>
  <si>
    <t xml:space="preserve">§3.5.1</t>
  </si>
  <si>
    <t xml:space="preserve">稽核</t>
  </si>
  <si>
    <t xml:space="preserve">預約操作稽核日誌</t>
  </si>
  <si>
    <r>
      <rPr>
        <sz val="9"/>
        <color rgb="FF1A1F26"/>
        <rFont val="Noto Sans CJK SC"/>
        <family val="2"/>
      </rPr>
      <t xml:space="preserve">時間／類型／狀態／預約</t>
    </r>
    <r>
      <rPr>
        <sz val="9"/>
        <color rgb="FF1A1F26"/>
        <rFont val="Arial"/>
        <family val="0"/>
        <charset val="1"/>
      </rPr>
      <t xml:space="preserve">ID</t>
    </r>
    <r>
      <rPr>
        <sz val="9"/>
        <color rgb="FF1A1F26"/>
        <rFont val="Noto Sans CJK SC"/>
        <family val="2"/>
      </rPr>
      <t xml:space="preserve">／資料／發起人</t>
    </r>
  </si>
  <si>
    <r>
      <rPr>
        <sz val="9"/>
        <color rgb="FF1A1F26"/>
        <rFont val="Arial"/>
        <family val="0"/>
        <charset val="1"/>
      </rPr>
      <t xml:space="preserve">audit_log(</t>
    </r>
    <r>
      <rPr>
        <sz val="9"/>
        <color rgb="FF1A1F26"/>
        <rFont val="Noto Sans CJK SC"/>
        <family val="2"/>
      </rPr>
      <t xml:space="preserve">分區</t>
    </r>
    <r>
      <rPr>
        <sz val="9"/>
        <color rgb="FF1A1F26"/>
        <rFont val="Arial"/>
        <family val="0"/>
        <charset val="1"/>
      </rPr>
      <t xml:space="preserve">)</t>
    </r>
  </si>
  <si>
    <t xml:space="preserve">GET /audit-log</t>
  </si>
  <si>
    <r>
      <rPr>
        <sz val="9"/>
        <color rgb="FF1A1F26"/>
        <rFont val="Noto Sans CJK SC"/>
        <family val="2"/>
      </rPr>
      <t xml:space="preserve">六欄位全對應；對 </t>
    </r>
    <r>
      <rPr>
        <sz val="9"/>
        <color rgb="FF1A1F26"/>
        <rFont val="Arial"/>
        <family val="0"/>
        <charset val="1"/>
      </rPr>
      <t xml:space="preserve">fms_app </t>
    </r>
    <r>
      <rPr>
        <sz val="9"/>
        <color rgb="FF1A1F26"/>
        <rFont val="Noto Sans CJK SC"/>
        <family val="2"/>
      </rPr>
      <t xml:space="preserve">撤銷 </t>
    </r>
    <r>
      <rPr>
        <sz val="9"/>
        <color rgb="FF1A1F26"/>
        <rFont val="Arial"/>
        <family val="0"/>
        <charset val="1"/>
      </rPr>
      <t xml:space="preserve">UPDATE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DELETE</t>
    </r>
  </si>
  <si>
    <t xml:space="preserve">§7.2</t>
  </si>
  <si>
    <t xml:space="preserve">系統事件：預約開始／結束</t>
  </si>
  <si>
    <t xml:space="preserve">系統觸發的兩種稽核事件</t>
  </si>
  <si>
    <t xml:space="preserve">audit_log / event_outbox</t>
  </si>
  <si>
    <r>
      <rPr>
        <sz val="9"/>
        <color rgb="FF1A1F26"/>
        <rFont val="Noto Sans CJK SC"/>
        <family val="2"/>
      </rPr>
      <t xml:space="preserve">需 </t>
    </r>
    <r>
      <rPr>
        <sz val="9"/>
        <color rgb="FF1A1F26"/>
        <rFont val="Arial"/>
        <family val="0"/>
        <charset val="1"/>
      </rPr>
      <t xml:space="preserve">worker </t>
    </r>
    <r>
      <rPr>
        <sz val="9"/>
        <color rgb="FF1A1F26"/>
        <rFont val="Noto Sans CJK SC"/>
        <family val="2"/>
      </rPr>
      <t xml:space="preserve">於預約起訖時寫入稽核列</t>
    </r>
  </si>
  <si>
    <t xml:space="preserve">稽核匯出與自訂排序</t>
  </si>
  <si>
    <r>
      <rPr>
        <sz val="9"/>
        <color rgb="FF1A1F26"/>
        <rFont val="Noto Sans CJK SC"/>
        <family val="2"/>
      </rPr>
      <t xml:space="preserve">下載匯出、自訂欄位、每頁 </t>
    </r>
    <r>
      <rPr>
        <sz val="9"/>
        <color rgb="FF1A1F26"/>
        <rFont val="Arial"/>
        <family val="0"/>
        <charset val="1"/>
      </rPr>
      <t xml:space="preserve">30 </t>
    </r>
    <r>
      <rPr>
        <sz val="9"/>
        <color rgb="FF1A1F26"/>
        <rFont val="Noto Sans CJK SC"/>
        <family val="2"/>
      </rPr>
      <t xml:space="preserve">筆</t>
    </r>
  </si>
  <si>
    <t xml:space="preserve">audit_log</t>
  </si>
  <si>
    <t xml:space="preserve">POST /audit-log:export</t>
  </si>
  <si>
    <t xml:space="preserve">§3.5.2</t>
  </si>
  <si>
    <t xml:space="preserve">配額</t>
  </si>
  <si>
    <t xml:space="preserve">配額使用歷史記錄</t>
  </si>
  <si>
    <t xml:space="preserve">記錄預約消耗的配額，可匯出</t>
  </si>
  <si>
    <r>
      <rPr>
        <sz val="9"/>
        <color rgb="FF1A1F26"/>
        <rFont val="Arial"/>
        <family val="0"/>
        <charset val="1"/>
      </rPr>
      <t xml:space="preserve">quota_transactions(</t>
    </r>
    <r>
      <rPr>
        <sz val="9"/>
        <color rgb="FF1A1F26"/>
        <rFont val="Noto Sans CJK SC"/>
        <family val="2"/>
      </rPr>
      <t xml:space="preserve">明細帳</t>
    </r>
    <r>
      <rPr>
        <sz val="9"/>
        <color rgb="FF1A1F26"/>
        <rFont val="Arial"/>
        <family val="0"/>
        <charset val="1"/>
      </rPr>
      <t xml:space="preserve">)</t>
    </r>
  </si>
  <si>
    <t xml:space="preserve">GET /quota-usage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</si>
  <si>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已補政策／指派／用量／明細四層</t>
    </r>
  </si>
  <si>
    <t xml:space="preserve">§7.3</t>
  </si>
  <si>
    <t xml:space="preserve">配額機制（收費／限次）</t>
  </si>
  <si>
    <t xml:space="preserve">使用者配額管理</t>
  </si>
  <si>
    <t xml:space="preserve">quota_policies / quota_assignments / quota_usage / consume_quota()</t>
  </si>
  <si>
    <t xml:space="preserve">POST /quota-policies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</si>
  <si>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已補；含硬／軟上限、週期、退還、警示</t>
    </r>
  </si>
  <si>
    <t xml:space="preserve">§4.1</t>
  </si>
  <si>
    <t xml:space="preserve">資源</t>
  </si>
  <si>
    <r>
      <rPr>
        <b val="true"/>
        <sz val="9"/>
        <color rgb="FF1A1F26"/>
        <rFont val="Arial"/>
        <family val="0"/>
        <charset val="1"/>
      </rPr>
      <t xml:space="preserve">5 </t>
    </r>
    <r>
      <rPr>
        <b val="true"/>
        <sz val="9"/>
        <color rgb="FF1A1F26"/>
        <rFont val="Noto Sans CJK SC"/>
        <family val="2"/>
      </rPr>
      <t xml:space="preserve">種資源類型</t>
    </r>
  </si>
  <si>
    <t xml:space="preserve">房間／桌／設備／車位／其他</t>
  </si>
  <si>
    <t xml:space="preserve">bookable_resources / spatial_node_types</t>
  </si>
  <si>
    <t xml:space="preserve">GET /bookable-resources</t>
  </si>
  <si>
    <t xml:space="preserve">§4.2</t>
  </si>
  <si>
    <t xml:space="preserve">標準房間</t>
  </si>
  <si>
    <t xml:space="preserve">可直接預約</t>
  </si>
  <si>
    <r>
      <rPr>
        <b val="true"/>
        <sz val="9"/>
        <color rgb="FF1A1F26"/>
        <rFont val="Noto Sans CJK SC"/>
        <family val="2"/>
      </rPr>
      <t xml:space="preserve">合併房間（</t>
    </r>
    <r>
      <rPr>
        <b val="true"/>
        <sz val="9"/>
        <color rgb="FF1A1F26"/>
        <rFont val="Arial"/>
        <family val="0"/>
        <charset val="1"/>
      </rPr>
      <t xml:space="preserve">Combinable</t>
    </r>
    <r>
      <rPr>
        <b val="true"/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</si>
  <si>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A+B </t>
    </r>
    <r>
      <rPr>
        <sz val="9"/>
        <color rgb="FF1A1F26"/>
        <rFont val="Noto Sans CJK SC"/>
        <family val="2"/>
      </rPr>
      <t xml:space="preserve">合併，預約時自動鎖住個別房間</t>
    </r>
  </si>
  <si>
    <r>
      <rPr>
        <sz val="9"/>
        <color rgb="FF1A1F26"/>
        <rFont val="Arial"/>
        <family val="0"/>
        <charset val="1"/>
      </rPr>
      <t xml:space="preserve">resource_compositions </t>
    </r>
    <r>
      <rPr>
        <sz val="9"/>
        <color rgb="FF1A1F26"/>
        <rFont val="Noto Sans CJK SC"/>
        <family val="2"/>
      </rPr>
      <t xml:space="preserve">＋ </t>
    </r>
    <r>
      <rPr>
        <sz val="9"/>
        <color rgb="FF1A1F26"/>
        <rFont val="Arial"/>
        <family val="0"/>
        <charset val="1"/>
      </rPr>
      <t xml:space="preserve">shadow </t>
    </r>
    <r>
      <rPr>
        <sz val="9"/>
        <color rgb="FF1A1F26"/>
        <rFont val="Noto Sans CJK SC"/>
        <family val="2"/>
      </rPr>
      <t xml:space="preserve">預約 ＋ </t>
    </r>
    <r>
      <rPr>
        <sz val="9"/>
        <color rgb="FF1A1F26"/>
        <rFont val="Arial"/>
        <family val="0"/>
        <charset val="1"/>
      </rPr>
      <t xml:space="preserve">GiST </t>
    </r>
    <r>
      <rPr>
        <sz val="9"/>
        <color rgb="FF1A1F26"/>
        <rFont val="Noto Sans CJK SC"/>
        <family val="2"/>
      </rPr>
      <t xml:space="preserve">排他</t>
    </r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</si>
  <si>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已補；雙向互斥由資料庫保證，並可連動隔板佈置服務工單</t>
    </r>
  </si>
  <si>
    <t xml:space="preserve">需審批房間</t>
  </si>
  <si>
    <t xml:space="preserve">預約後須管理員審批</t>
  </si>
  <si>
    <t xml:space="preserve">bookable_resources.requires_approval</t>
  </si>
  <si>
    <t xml:space="preserve">§4.3</t>
  </si>
  <si>
    <t xml:space="preserve">房間屬性：照片</t>
  </si>
  <si>
    <t xml:space="preserve">展示用圖片</t>
  </si>
  <si>
    <t xml:space="preserve">bookable_resources.photo_attachment_id / attachments</t>
  </si>
  <si>
    <t xml:space="preserve">POST /uploads/presign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</si>
  <si>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已補關聯</t>
    </r>
  </si>
  <si>
    <t xml:space="preserve">房間屬性：平面圖位置</t>
  </si>
  <si>
    <t xml:space="preserve">在即時地圖上的座標</t>
  </si>
  <si>
    <t xml:space="preserve">spatial_nodes.geometry</t>
  </si>
  <si>
    <t xml:space="preserve">PATCH /spatial-nodes/{id}</t>
  </si>
  <si>
    <t xml:space="preserve">房間屬性：使用規則</t>
  </si>
  <si>
    <t xml:space="preserve">時間限制、提前預約天數</t>
  </si>
  <si>
    <t xml:space="preserve">bookable_resources(min/max_duration, advance_booking_days, min_notice, buffers)</t>
  </si>
  <si>
    <t xml:space="preserve">PATCH /bookable-resources/{id}</t>
  </si>
  <si>
    <t xml:space="preserve">我方另有前後緩衝與時段粒度</t>
  </si>
  <si>
    <t xml:space="preserve">§4.4</t>
  </si>
  <si>
    <t xml:space="preserve">資源批次匯入</t>
  </si>
  <si>
    <t xml:space="preserve">從外部日曆／檔案批量建立</t>
  </si>
  <si>
    <t xml:space="preserve">POST /spatial-nodes:bulk-import</t>
  </si>
  <si>
    <t xml:space="preserve">含試跑與差異報告</t>
  </si>
  <si>
    <t xml:space="preserve">§5.1</t>
  </si>
  <si>
    <t xml:space="preserve">模組</t>
  </si>
  <si>
    <t xml:space="preserve">預約管理</t>
  </si>
  <si>
    <t xml:space="preserve">核心資源預約</t>
  </si>
  <si>
    <r>
      <rPr>
        <sz val="9"/>
        <color rgb="FF1A1F26"/>
        <rFont val="Arial"/>
        <family val="0"/>
        <charset val="1"/>
      </rPr>
      <t xml:space="preserve">reservations </t>
    </r>
    <r>
      <rPr>
        <sz val="9"/>
        <color rgb="FF1A1F26"/>
        <rFont val="Noto Sans CJK SC"/>
        <family val="2"/>
      </rPr>
      <t xml:space="preserve">全套</t>
    </r>
  </si>
  <si>
    <t xml:space="preserve">工單管理</t>
  </si>
  <si>
    <t xml:space="preserve">報修與維護工單</t>
  </si>
  <si>
    <r>
      <rPr>
        <sz val="9"/>
        <color rgb="FF1A1F26"/>
        <rFont val="Arial"/>
        <family val="0"/>
        <charset val="1"/>
      </rPr>
      <t xml:space="preserve">work_orders </t>
    </r>
    <r>
      <rPr>
        <sz val="9"/>
        <color rgb="FF1A1F26"/>
        <rFont val="Noto Sans CJK SC"/>
        <family val="2"/>
      </rPr>
      <t xml:space="preserve">＋ 資料驅動狀態機</t>
    </r>
  </si>
  <si>
    <r>
      <rPr>
        <sz val="9"/>
        <color rgb="FF1A1F26"/>
        <rFont val="Noto Sans CJK SC"/>
        <family val="2"/>
      </rPr>
      <t xml:space="preserve">我方含 </t>
    </r>
    <r>
      <rPr>
        <sz val="9"/>
        <color rgb="FF1A1F26"/>
        <rFont val="Arial"/>
        <family val="0"/>
        <charset val="1"/>
      </rPr>
      <t xml:space="preserve">38 </t>
    </r>
    <r>
      <rPr>
        <sz val="9"/>
        <color rgb="FF1A1F26"/>
        <rFont val="Noto Sans CJK SC"/>
        <family val="2"/>
      </rPr>
      <t xml:space="preserve">條轉移規則、</t>
    </r>
    <r>
      <rPr>
        <sz val="9"/>
        <color rgb="FF1A1F26"/>
        <rFont val="Arial"/>
        <family val="0"/>
        <charset val="1"/>
      </rPr>
      <t xml:space="preserve">SLA</t>
    </r>
    <r>
      <rPr>
        <sz val="9"/>
        <color rgb="FF1A1F26"/>
        <rFont val="Noto Sans CJK SC"/>
        <family val="2"/>
      </rPr>
      <t xml:space="preserve">、備品、工時</t>
    </r>
  </si>
  <si>
    <t xml:space="preserve">服務管理</t>
  </si>
  <si>
    <t xml:space="preserve">辦公服務申請</t>
  </si>
  <si>
    <t xml:space="preserve">service_items(form_schema) / reservation_services</t>
  </si>
  <si>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JSON Schema </t>
    </r>
    <r>
      <rPr>
        <sz val="9"/>
        <color rgb="FF1A1F26"/>
        <rFont val="Noto Sans CJK SC"/>
        <family val="2"/>
      </rPr>
      <t xml:space="preserve">動態表單與附加服務 </t>
    </r>
    <r>
      <rPr>
        <sz val="9"/>
        <color rgb="FF1A1F26"/>
        <rFont val="Arial"/>
        <family val="0"/>
        <charset val="1"/>
      </rPr>
      <t xml:space="preserve">fan-out</t>
    </r>
  </si>
  <si>
    <t xml:space="preserve">訪客管理</t>
  </si>
  <si>
    <t xml:space="preserve">預邀請、登記、接待流程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</si>
  <si>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已補資料層；接待櫃台流程另計</t>
    </r>
  </si>
  <si>
    <t xml:space="preserve">地圖</t>
  </si>
  <si>
    <t xml:space="preserve">平面圖管理與展示</t>
  </si>
  <si>
    <t xml:space="preserve">GET /floor-view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</si>
  <si>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補樓層圖檔關聯</t>
    </r>
  </si>
  <si>
    <t xml:space="preserve">固定座位管理</t>
  </si>
  <si>
    <t xml:space="preserve">指定員工的固定工位</t>
  </si>
  <si>
    <r>
      <rPr>
        <sz val="9"/>
        <color rgb="FF1A1F26"/>
        <rFont val="Arial"/>
        <family val="0"/>
        <charset val="1"/>
      </rPr>
      <t xml:space="preserve">desk_assignments(daterange </t>
    </r>
    <r>
      <rPr>
        <sz val="9"/>
        <color rgb="FF1A1F26"/>
        <rFont val="Noto Sans CJK SC"/>
        <family val="2"/>
      </rPr>
      <t xml:space="preserve">排他</t>
    </r>
    <r>
      <rPr>
        <sz val="9"/>
        <color rgb="FF1A1F26"/>
        <rFont val="Arial"/>
        <family val="0"/>
        <charset val="1"/>
      </rPr>
      <t xml:space="preserve">)</t>
    </r>
  </si>
  <si>
    <t xml:space="preserve">POST /desk-assignments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</si>
  <si>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已補；同座位同期間不可重複指派</t>
    </r>
  </si>
  <si>
    <r>
      <rPr>
        <b val="true"/>
        <sz val="9"/>
        <color rgb="FF1A1F26"/>
        <rFont val="Noto Sans CJK SC"/>
        <family val="2"/>
      </rPr>
      <t xml:space="preserve">房間控制（</t>
    </r>
    <r>
      <rPr>
        <b val="true"/>
        <sz val="9"/>
        <color rgb="FF1A1F26"/>
        <rFont val="Arial"/>
        <family val="0"/>
        <charset val="1"/>
      </rPr>
      <t xml:space="preserve">IoT</t>
    </r>
    <r>
      <rPr>
        <b val="true"/>
        <sz val="9"/>
        <color rgb="FF1A1F26"/>
        <rFont val="Noto Sans CJK SC"/>
        <family val="2"/>
      </rPr>
      <t xml:space="preserve">）</t>
    </r>
  </si>
  <si>
    <t xml:space="preserve">燈光、溫度、門鎖控制</t>
  </si>
  <si>
    <t xml:space="preserve">device_commands</t>
  </si>
  <si>
    <t xml:space="preserve">POST /devices/{id}/commands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</si>
  <si>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已補下行命令佇列（含來源追溯與白名單）</t>
    </r>
  </si>
  <si>
    <t xml:space="preserve">廣播</t>
  </si>
  <si>
    <t xml:space="preserve">向特定區域或全體廣播</t>
  </si>
  <si>
    <r>
      <rPr>
        <sz val="9"/>
        <color rgb="FF1A1F26"/>
        <rFont val="Arial"/>
        <family val="0"/>
        <charset val="1"/>
      </rPr>
      <t xml:space="preserve">announcements(channels </t>
    </r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SIGNAGE)</t>
    </r>
  </si>
  <si>
    <t xml:space="preserve">POST /announcements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</si>
  <si>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</t>
    </r>
  </si>
  <si>
    <r>
      <rPr>
        <b val="true"/>
        <sz val="9"/>
        <color rgb="FF1A1F26"/>
        <rFont val="Noto Sans CJK SC"/>
        <family val="2"/>
      </rPr>
      <t xml:space="preserve">工作流程（</t>
    </r>
    <r>
      <rPr>
        <b val="true"/>
        <sz val="9"/>
        <color rgb="FF1A1F26"/>
        <rFont val="Arial"/>
        <family val="0"/>
        <charset val="1"/>
      </rPr>
      <t xml:space="preserve">Workflow</t>
    </r>
    <r>
      <rPr>
        <b val="true"/>
        <sz val="9"/>
        <color rgb="FF1A1F26"/>
        <rFont val="Noto Sans CJK SC"/>
        <family val="2"/>
      </rPr>
      <t xml:space="preserve">）</t>
    </r>
  </si>
  <si>
    <t xml:space="preserve">自動化流程設定</t>
  </si>
  <si>
    <t xml:space="preserve">work_order_transitions_allowed / event_outbox</t>
  </si>
  <si>
    <t xml:space="preserve">工單流程已資料化；預約與訪客的可設定流程需另設計</t>
  </si>
  <si>
    <t xml:space="preserve">活動管理</t>
  </si>
  <si>
    <t xml:space="preserve">大型活動場地與人員</t>
  </si>
  <si>
    <r>
      <rPr>
        <sz val="9"/>
        <color rgb="FF1A1F26"/>
        <rFont val="Noto Sans CJK SC"/>
        <family val="2"/>
      </rPr>
      <t xml:space="preserve">（可用 </t>
    </r>
    <r>
      <rPr>
        <sz val="9"/>
        <color rgb="FF1A1F26"/>
        <rFont val="Arial"/>
        <family val="0"/>
        <charset val="1"/>
      </rPr>
      <t xml:space="preserve">reservations </t>
    </r>
    <r>
      <rPr>
        <sz val="9"/>
        <color rgb="FF1A1F26"/>
        <rFont val="Noto Sans CJK SC"/>
        <family val="2"/>
      </rPr>
      <t xml:space="preserve">部分覆蓋）</t>
    </r>
  </si>
  <si>
    <t xml:space="preserve">建議第三階段；或以預約＋服務組合替代</t>
  </si>
  <si>
    <t xml:space="preserve">考勤管理</t>
  </si>
  <si>
    <t xml:space="preserve">打卡、出勤記錄</t>
  </si>
  <si>
    <r>
      <rPr>
        <sz val="9"/>
        <color rgb="FF1A1F26"/>
        <rFont val="Noto Sans CJK SC"/>
        <family val="2"/>
      </rPr>
      <t xml:space="preserve">屬 </t>
    </r>
    <r>
      <rPr>
        <sz val="9"/>
        <color rgb="FF1A1F26"/>
        <rFont val="Arial"/>
        <family val="0"/>
        <charset val="1"/>
      </rPr>
      <t xml:space="preserve">HR </t>
    </r>
    <r>
      <rPr>
        <sz val="9"/>
        <color rgb="FF1A1F26"/>
        <rFont val="Noto Sans CJK SC"/>
        <family val="2"/>
      </rPr>
      <t xml:space="preserve">領域，建議劃出範圍或以整合方式對接</t>
    </r>
  </si>
  <si>
    <t xml:space="preserve">收發（郵件包裹）</t>
  </si>
  <si>
    <t xml:space="preserve">收發登記與通知</t>
  </si>
  <si>
    <t xml:space="preserve">建議第三階段</t>
  </si>
  <si>
    <r>
      <rPr>
        <b val="true"/>
        <sz val="9"/>
        <color rgb="FF1A1F26"/>
        <rFont val="Noto Sans CJK SC"/>
        <family val="2"/>
      </rPr>
      <t xml:space="preserve">櫃台（</t>
    </r>
    <r>
      <rPr>
        <b val="true"/>
        <sz val="9"/>
        <color rgb="FF1A1F26"/>
        <rFont val="Arial"/>
        <family val="0"/>
        <charset val="1"/>
      </rPr>
      <t xml:space="preserve">Reception</t>
    </r>
    <r>
      <rPr>
        <b val="true"/>
        <sz val="9"/>
        <color rgb="FF1A1F26"/>
        <rFont val="Noto Sans CJK SC"/>
        <family val="2"/>
      </rPr>
      <t xml:space="preserve">）</t>
    </r>
  </si>
  <si>
    <t xml:space="preserve">前台接待管理</t>
  </si>
  <si>
    <r>
      <rPr>
        <sz val="9"/>
        <color rgb="FF1A1F26"/>
        <rFont val="Arial"/>
        <family val="0"/>
        <charset val="1"/>
      </rPr>
      <t xml:space="preserve">visitor_invitations </t>
    </r>
    <r>
      <rPr>
        <sz val="9"/>
        <color rgb="FF1A1F26"/>
        <rFont val="Noto Sans CJK SC"/>
        <family val="2"/>
      </rPr>
      <t xml:space="preserve">可支撐部分</t>
    </r>
  </si>
  <si>
    <t xml:space="preserve">與訪客模組合併設計較合理</t>
  </si>
  <si>
    <t xml:space="preserve">費用報銷</t>
  </si>
  <si>
    <t xml:space="preserve">辦公費用申請審核</t>
  </si>
  <si>
    <t xml:space="preserve">屬財務領域，建議劃出範圍</t>
  </si>
  <si>
    <t xml:space="preserve">§5.2</t>
  </si>
  <si>
    <t xml:space="preserve">IoT</t>
  </si>
  <si>
    <r>
      <rPr>
        <b val="true"/>
        <sz val="9"/>
        <color rgb="FF1A1F26"/>
        <rFont val="Noto Sans CJK SC"/>
        <family val="2"/>
      </rPr>
      <t xml:space="preserve">電子標牌（</t>
    </r>
    <r>
      <rPr>
        <b val="true"/>
        <sz val="9"/>
        <color rgb="FF1A1F26"/>
        <rFont val="Arial"/>
        <family val="0"/>
        <charset val="1"/>
      </rPr>
      <t xml:space="preserve">Digital Signage</t>
    </r>
    <r>
      <rPr>
        <b val="true"/>
        <sz val="9"/>
        <color rgb="FF1A1F26"/>
        <rFont val="Noto Sans CJK SC"/>
        <family val="2"/>
      </rPr>
      <t xml:space="preserve">）</t>
    </r>
  </si>
  <si>
    <t xml:space="preserve">顯示會議室狀態與導引</t>
  </si>
  <si>
    <t xml:space="preserve">signage_displays / announcements</t>
  </si>
  <si>
    <t xml:space="preserve">GET /signage/{code}/content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</si>
  <si>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已補顯示器主檔與能力旗標</t>
    </r>
  </si>
  <si>
    <r>
      <rPr>
        <b val="true"/>
        <sz val="9"/>
        <color rgb="FF1A1F26"/>
        <rFont val="Noto Sans CJK SC"/>
        <family val="2"/>
      </rPr>
      <t xml:space="preserve">預約面板（</t>
    </r>
    <r>
      <rPr>
        <b val="true"/>
        <sz val="9"/>
        <color rgb="FF1A1F26"/>
        <rFont val="Arial"/>
        <family val="0"/>
        <charset val="1"/>
      </rPr>
      <t xml:space="preserve">Booking Panel</t>
    </r>
    <r>
      <rPr>
        <b val="true"/>
        <sz val="9"/>
        <color rgb="FF1A1F26"/>
        <rFont val="Noto Sans CJK SC"/>
        <family val="2"/>
      </rPr>
      <t xml:space="preserve">）</t>
    </r>
  </si>
  <si>
    <t xml:space="preserve">門外觸控面板，即場預約</t>
  </si>
  <si>
    <r>
      <rPr>
        <sz val="9"/>
        <color rgb="FF1A1F26"/>
        <rFont val="Arial"/>
        <family val="0"/>
        <charset val="1"/>
      </rPr>
      <t xml:space="preserve">signage_displays(allow_walk_in_booking </t>
    </r>
    <r>
      <rPr>
        <sz val="9"/>
        <color rgb="FF1A1F26"/>
        <rFont val="Noto Sans CJK SC"/>
        <family val="2"/>
      </rPr>
      <t xml:space="preserve">等</t>
    </r>
    <r>
      <rPr>
        <sz val="9"/>
        <color rgb="FF1A1F26"/>
        <rFont val="Arial"/>
        <family val="0"/>
        <charset val="1"/>
      </rPr>
      <t xml:space="preserve">)</t>
    </r>
  </si>
  <si>
    <t xml:space="preserve">POST /signage/{code}/actions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</si>
  <si>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已補；面板 </t>
    </r>
    <r>
      <rPr>
        <sz val="9"/>
        <color rgb="FF1A1F26"/>
        <rFont val="Arial"/>
        <family val="0"/>
        <charset val="1"/>
      </rPr>
      <t xml:space="preserve">API </t>
    </r>
    <r>
      <rPr>
        <sz val="9"/>
        <color rgb="FF1A1F26"/>
        <rFont val="Noto Sans CJK SC"/>
        <family val="2"/>
      </rPr>
      <t xml:space="preserve">需另實作</t>
    </r>
  </si>
  <si>
    <t xml:space="preserve">智能門鎖</t>
  </si>
  <si>
    <t xml:space="preserve">預約確認後自動授權開門</t>
  </si>
  <si>
    <t xml:space="preserve">device_commands(UNLOCK) / visitor_access_grants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</si>
  <si>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已補下行命令與訪客憑證</t>
    </r>
  </si>
  <si>
    <t xml:space="preserve">佔用感應器</t>
  </si>
  <si>
    <t xml:space="preserve">偵測是否有人（解決幽靈預約）</t>
  </si>
  <si>
    <t xml:space="preserve">devices(OCCUPANCY) / reservations.check_in_method / auto_release_at</t>
  </si>
  <si>
    <t xml:space="preserve">POST /telemetry:batch-ingest</t>
  </si>
  <si>
    <r>
      <rPr>
        <sz val="9"/>
        <color rgb="FF1A1F26"/>
        <rFont val="Noto Sans CJK SC"/>
        <family val="2"/>
      </rPr>
      <t xml:space="preserve">我方另有 </t>
    </r>
    <r>
      <rPr>
        <sz val="9"/>
        <color rgb="FF1A1F26"/>
        <rFont val="Arial"/>
        <family val="0"/>
        <charset val="1"/>
      </rPr>
      <t xml:space="preserve">DEVICE_OFFLINE </t>
    </r>
    <r>
      <rPr>
        <sz val="9"/>
        <color rgb="FF1A1F26"/>
        <rFont val="Noto Sans CJK SC"/>
        <family val="2"/>
      </rPr>
      <t xml:space="preserve">告警與自動釋放</t>
    </r>
  </si>
  <si>
    <r>
      <rPr>
        <b val="true"/>
        <sz val="9"/>
        <color rgb="FF1A1F26"/>
        <rFont val="Noto Sans CJK SC"/>
        <family val="2"/>
      </rPr>
      <t xml:space="preserve">室內空氣品質（</t>
    </r>
    <r>
      <rPr>
        <b val="true"/>
        <sz val="9"/>
        <color rgb="FF1A1F26"/>
        <rFont val="Arial"/>
        <family val="0"/>
        <charset val="1"/>
      </rPr>
      <t xml:space="preserve">IAQ</t>
    </r>
    <r>
      <rPr>
        <b val="true"/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</si>
  <si>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CO₂</t>
    </r>
    <r>
      <rPr>
        <sz val="9"/>
        <color rgb="FF1A1F26"/>
        <rFont val="Noto Sans CJK SC"/>
        <family val="2"/>
      </rPr>
      <t xml:space="preserve">、溫濕度監測</t>
    </r>
  </si>
  <si>
    <r>
      <rPr>
        <sz val="9"/>
        <color rgb="FF1A1F26"/>
        <rFont val="Arial"/>
        <family val="0"/>
        <charset val="1"/>
      </rPr>
      <t xml:space="preserve">telemetry_points / telemetry_readings(</t>
    </r>
    <r>
      <rPr>
        <sz val="9"/>
        <color rgb="FF1A1F26"/>
        <rFont val="Noto Sans CJK SC"/>
        <family val="2"/>
      </rPr>
      <t xml:space="preserve">分區</t>
    </r>
    <r>
      <rPr>
        <sz val="9"/>
        <color rgb="FF1A1F26"/>
        <rFont val="Arial"/>
        <family val="0"/>
        <charset val="1"/>
      </rPr>
      <t xml:space="preserve">)</t>
    </r>
  </si>
  <si>
    <t xml:space="preserve">GET /telemetry/series</t>
  </si>
  <si>
    <t xml:space="preserve">資產標籤</t>
  </si>
  <si>
    <t xml:space="preserve">資產追蹤標籤</t>
  </si>
  <si>
    <t xml:space="preserve">assets.tag_rfid</t>
  </si>
  <si>
    <t xml:space="preserve">GET /assets?tag_rfid=</t>
  </si>
  <si>
    <t xml:space="preserve">§6</t>
  </si>
  <si>
    <t xml:space="preserve">AI</t>
  </si>
  <si>
    <r>
      <rPr>
        <b val="true"/>
        <sz val="9"/>
        <color rgb="FF1A1F26"/>
        <rFont val="Arial"/>
        <family val="0"/>
        <charset val="1"/>
      </rPr>
      <t xml:space="preserve">AI </t>
    </r>
    <r>
      <rPr>
        <b val="true"/>
        <sz val="9"/>
        <color rgb="FF1A1F26"/>
        <rFont val="Noto Sans CJK SC"/>
        <family val="2"/>
      </rPr>
      <t xml:space="preserve">迅速洞察</t>
    </r>
  </si>
  <si>
    <t xml:space="preserve">自然語言查詢分析</t>
  </si>
  <si>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§3.4.4 </t>
    </r>
    <r>
      <rPr>
        <sz val="9"/>
        <color rgb="FF1A1F26"/>
        <rFont val="Noto Sans CJK SC"/>
        <family val="2"/>
      </rPr>
      <t xml:space="preserve">同一項工作</t>
    </r>
  </si>
  <si>
    <r>
      <rPr>
        <b val="true"/>
        <sz val="9"/>
        <color rgb="FF1A1F26"/>
        <rFont val="Arial"/>
        <family val="0"/>
        <charset val="1"/>
      </rPr>
      <t xml:space="preserve">AI </t>
    </r>
    <r>
      <rPr>
        <b val="true"/>
        <sz val="9"/>
        <color rgb="FF1A1F26"/>
        <rFont val="Noto Sans CJK SC"/>
        <family val="2"/>
      </rPr>
      <t xml:space="preserve">支援（操作問答）</t>
    </r>
  </si>
  <si>
    <t xml:space="preserve">協助用戶操作</t>
  </si>
  <si>
    <r>
      <rPr>
        <sz val="9"/>
        <color rgb="FF1A1F26"/>
        <rFont val="Noto Sans CJK SC"/>
        <family val="2"/>
      </rPr>
      <t xml:space="preserve">知識庫＋</t>
    </r>
    <r>
      <rPr>
        <sz val="9"/>
        <color rgb="FF1A1F26"/>
        <rFont val="Arial"/>
        <family val="0"/>
        <charset val="1"/>
      </rPr>
      <t xml:space="preserve">LLM</t>
    </r>
    <r>
      <rPr>
        <sz val="9"/>
        <color rgb="FF1A1F26"/>
        <rFont val="Noto Sans CJK SC"/>
        <family val="2"/>
      </rPr>
      <t xml:space="preserve">，建議第三階段</t>
    </r>
  </si>
  <si>
    <r>
      <rPr>
        <b val="true"/>
        <sz val="9"/>
        <color rgb="FF1A1F26"/>
        <rFont val="Noto Sans CJK SC"/>
        <family val="2"/>
      </rPr>
      <t xml:space="preserve">場景庫 </t>
    </r>
    <r>
      <rPr>
        <b val="true"/>
        <sz val="9"/>
        <color rgb="FF1A1F26"/>
        <rFont val="Arial"/>
        <family val="0"/>
        <charset val="1"/>
      </rPr>
      <t xml:space="preserve">AI </t>
    </r>
    <r>
      <rPr>
        <b val="true"/>
        <sz val="9"/>
        <color rgb="FF1A1F26"/>
        <rFont val="Noto Sans CJK SC"/>
        <family val="2"/>
      </rPr>
      <t xml:space="preserve">建議</t>
    </r>
  </si>
  <si>
    <t xml:space="preserve">依描述推薦使用場景</t>
  </si>
  <si>
    <t xml:space="preserve">屬行銷內容，非後端功能</t>
  </si>
  <si>
    <t xml:space="preserve">自動資源預約</t>
  </si>
  <si>
    <t xml:space="preserve">基於條件自動預約</t>
  </si>
  <si>
    <t xml:space="preserve">reservations / event_outbox</t>
  </si>
  <si>
    <r>
      <rPr>
        <sz val="9"/>
        <color rgb="FF1A1F26"/>
        <rFont val="Noto Sans CJK SC"/>
        <family val="2"/>
      </rPr>
      <t xml:space="preserve">可用 </t>
    </r>
    <r>
      <rPr>
        <sz val="9"/>
        <color rgb="FF1A1F26"/>
        <rFont val="Arial"/>
        <family val="0"/>
        <charset val="1"/>
      </rPr>
      <t xml:space="preserve">outbox</t>
    </r>
    <r>
      <rPr>
        <sz val="9"/>
        <color rgb="FF1A1F26"/>
        <rFont val="Noto Sans CJK SC"/>
        <family val="2"/>
      </rPr>
      <t xml:space="preserve">＋規則實作，需定義規則模型</t>
    </r>
  </si>
  <si>
    <t xml:space="preserve">§7.1</t>
  </si>
  <si>
    <t xml:space="preserve">資料</t>
  </si>
  <si>
    <r>
      <rPr>
        <b val="true"/>
        <sz val="9"/>
        <color rgb="FF1A1F26"/>
        <rFont val="Noto Sans CJK SC"/>
        <family val="2"/>
      </rPr>
      <t xml:space="preserve">預約 </t>
    </r>
    <r>
      <rPr>
        <b val="true"/>
        <sz val="9"/>
        <color rgb="FF1A1F26"/>
        <rFont val="Arial"/>
        <family val="0"/>
        <charset val="1"/>
      </rPr>
      <t xml:space="preserve">ID </t>
    </r>
    <r>
      <rPr>
        <b val="true"/>
        <sz val="9"/>
        <color rgb="FF1A1F26"/>
        <rFont val="Noto Sans CJK SC"/>
        <family val="2"/>
      </rPr>
      <t xml:space="preserve">格式 </t>
    </r>
    <r>
      <rPr>
        <b val="true"/>
        <sz val="9"/>
        <color rgb="FF1A1F26"/>
        <rFont val="Arial"/>
        <family val="0"/>
        <charset val="1"/>
      </rPr>
      <t xml:space="preserve">BK0001</t>
    </r>
  </si>
  <si>
    <r>
      <rPr>
        <sz val="9"/>
        <color rgb="FF1A1F26"/>
        <rFont val="Arial"/>
        <family val="0"/>
        <charset val="1"/>
      </rPr>
      <t xml:space="preserve">BK</t>
    </r>
    <r>
      <rPr>
        <sz val="9"/>
        <color rgb="FF1A1F26"/>
        <rFont val="Noto Sans CJK SC"/>
        <family val="2"/>
      </rPr>
      <t xml:space="preserve">＋四位流水號</t>
    </r>
  </si>
  <si>
    <t xml:space="preserve">document_sequences / next_document_no()</t>
  </si>
  <si>
    <r>
      <rPr>
        <sz val="9"/>
        <color rgb="FF1A1F26"/>
        <rFont val="Noto Sans CJK SC"/>
        <family val="2"/>
      </rPr>
      <t xml:space="preserve">設 </t>
    </r>
    <r>
      <rPr>
        <sz val="9"/>
        <color rgb="FF1A1F26"/>
        <rFont val="Arial"/>
        <family val="0"/>
        <charset val="1"/>
      </rPr>
      <t xml:space="preserve">prefix='BK'</t>
    </r>
    <r>
      <rPr>
        <sz val="9"/>
        <color rgb="FF1A1F26"/>
        <rFont val="Noto Sans CJK SC"/>
        <family val="2"/>
      </rPr>
      <t xml:space="preserve">、</t>
    </r>
    <r>
      <rPr>
        <sz val="9"/>
        <color rgb="FF1A1F26"/>
        <rFont val="Arial"/>
        <family val="0"/>
        <charset val="1"/>
      </rPr>
      <t xml:space="preserve">pad_width=4 </t>
    </r>
    <r>
      <rPr>
        <sz val="9"/>
        <color rgb="FF1A1F26"/>
        <rFont val="Noto Sans CJK SC"/>
        <family val="2"/>
      </rPr>
      <t xml:space="preserve">即完全一致</t>
    </r>
  </si>
  <si>
    <t xml:space="preserve">§8.4</t>
  </si>
  <si>
    <r>
      <rPr>
        <b val="true"/>
        <sz val="9"/>
        <color rgb="FF1A1F26"/>
        <rFont val="Noto Sans CJK SC"/>
        <family val="2"/>
      </rPr>
      <t xml:space="preserve">資料模型：</t>
    </r>
    <r>
      <rPr>
        <b val="true"/>
        <sz val="9"/>
        <color rgb="FF1A1F26"/>
        <rFont val="Arial"/>
        <family val="0"/>
        <charset val="1"/>
      </rPr>
      <t xml:space="preserve">Resource</t>
    </r>
  </si>
  <si>
    <t xml:space="preserve">id/name/type/subtype/location/capacity/amenities/requireApproval/isCombinable</t>
  </si>
  <si>
    <r>
      <rPr>
        <sz val="9"/>
        <color rgb="FF1A1F26"/>
        <rFont val="Arial"/>
        <family val="0"/>
        <charset val="1"/>
      </rPr>
      <t xml:space="preserve">bookable_resources </t>
    </r>
    <r>
      <rPr>
        <sz val="9"/>
        <color rgb="FF1A1F26"/>
        <rFont val="Noto Sans CJK SC"/>
        <family val="2"/>
      </rPr>
      <t xml:space="preserve">＋ </t>
    </r>
    <r>
      <rPr>
        <sz val="9"/>
        <color rgb="FF1A1F26"/>
        <rFont val="Arial"/>
        <family val="0"/>
        <charset val="1"/>
      </rPr>
      <t xml:space="preserve">resource_amenities </t>
    </r>
    <r>
      <rPr>
        <sz val="9"/>
        <color rgb="FF1A1F26"/>
        <rFont val="Noto Sans CJK SC"/>
        <family val="2"/>
      </rPr>
      <t xml:space="preserve">＋ </t>
    </r>
    <r>
      <rPr>
        <sz val="9"/>
        <color rgb="FF1A1F26"/>
        <rFont val="Arial"/>
        <family val="0"/>
        <charset val="1"/>
      </rPr>
      <t xml:space="preserve">resource_compositions</t>
    </r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</si>
  <si>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補齊 </t>
    </r>
    <r>
      <rPr>
        <sz val="9"/>
        <color rgb="FF1A1F26"/>
        <rFont val="Arial"/>
        <family val="0"/>
        <charset val="1"/>
      </rPr>
      <t xml:space="preserve">amenities </t>
    </r>
    <r>
      <rPr>
        <sz val="9"/>
        <color rgb="FF1A1F26"/>
        <rFont val="Noto Sans CJK SC"/>
        <family val="2"/>
      </rPr>
      <t xml:space="preserve">與 </t>
    </r>
    <r>
      <rPr>
        <sz val="9"/>
        <color rgb="FF1A1F26"/>
        <rFont val="Arial"/>
        <family val="0"/>
        <charset val="1"/>
      </rPr>
      <t xml:space="preserve">isCombinable </t>
    </r>
    <r>
      <rPr>
        <sz val="9"/>
        <color rgb="FF1A1F26"/>
        <rFont val="Noto Sans CJK SC"/>
        <family val="2"/>
      </rPr>
      <t xml:space="preserve">兩個缺項</t>
    </r>
  </si>
  <si>
    <r>
      <rPr>
        <b val="true"/>
        <sz val="9"/>
        <color rgb="FF1A1F26"/>
        <rFont val="Noto Sans CJK SC"/>
        <family val="2"/>
      </rPr>
      <t xml:space="preserve">資料模型：</t>
    </r>
    <r>
      <rPr>
        <b val="true"/>
        <sz val="9"/>
        <color rgb="FF1A1F26"/>
        <rFont val="Arial"/>
        <family val="0"/>
        <charset val="1"/>
      </rPr>
      <t xml:space="preserve">Booking</t>
    </r>
  </si>
  <si>
    <r>
      <rPr>
        <sz val="9"/>
        <color rgb="FF1A1F26"/>
        <rFont val="Noto Sans CJK SC"/>
        <family val="2"/>
      </rPr>
      <t xml:space="preserve">含 </t>
    </r>
    <r>
      <rPr>
        <sz val="9"/>
        <color rgb="FF1A1F26"/>
        <rFont val="Arial"/>
        <family val="0"/>
        <charset val="1"/>
      </rPr>
      <t xml:space="preserve">mode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isPrivate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onlineMeetingUrl</t>
    </r>
  </si>
  <si>
    <t xml:space="preserve">reservations(is_private, online_meeting_join_url, recurrence_rule)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</si>
  <si>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補齊三個缺項</t>
    </r>
  </si>
  <si>
    <r>
      <rPr>
        <b val="true"/>
        <sz val="9"/>
        <color rgb="FF1A1F26"/>
        <rFont val="Noto Sans CJK SC"/>
        <family val="2"/>
      </rPr>
      <t xml:space="preserve">資料模型：</t>
    </r>
    <r>
      <rPr>
        <b val="true"/>
        <sz val="9"/>
        <color rgb="FF1A1F26"/>
        <rFont val="Arial"/>
        <family val="0"/>
        <charset val="1"/>
      </rPr>
      <t xml:space="preserve">Quota</t>
    </r>
  </si>
  <si>
    <t xml:space="preserve">userId/resourceType/allocated/used/period</t>
  </si>
  <si>
    <t xml:space="preserve">quota_policies / quota_usage / quota_transactions</t>
  </si>
  <si>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已補，且多了明細帳與退還機制</t>
    </r>
  </si>
  <si>
    <r>
      <rPr>
        <b val="true"/>
        <sz val="9"/>
        <color rgb="FF1A1F26"/>
        <rFont val="Noto Sans CJK SC"/>
        <family val="2"/>
      </rPr>
      <t xml:space="preserve">資料模型：</t>
    </r>
    <r>
      <rPr>
        <b val="true"/>
        <sz val="9"/>
        <color rgb="FF1A1F26"/>
        <rFont val="Arial"/>
        <family val="0"/>
        <charset val="1"/>
      </rPr>
      <t xml:space="preserve">AuditLog</t>
    </r>
  </si>
  <si>
    <t xml:space="preserve">bookingId/eventType/status/userId/timestamp</t>
  </si>
  <si>
    <t xml:space="preserve">合計人日</t>
  </si>
  <si>
    <t xml:space="preserve">覆蓋率統計（全部由對照矩陣計算）</t>
  </si>
  <si>
    <t xml:space="preserve">整體覆蓋率</t>
  </si>
  <si>
    <t xml:space="preserve">時點</t>
  </si>
  <si>
    <t xml:space="preserve">項目總數</t>
  </si>
  <si>
    <t xml:space="preserve">支援（含超越）</t>
  </si>
  <si>
    <t xml:space="preserve">支援率</t>
  </si>
  <si>
    <t xml:space="preserve">缺口數</t>
  </si>
  <si>
    <t xml:space="preserve">缺口率</t>
  </si>
  <si>
    <r>
      <rPr>
        <b val="true"/>
        <sz val="10"/>
        <color rgb="FFFFFFFF"/>
        <rFont val="Noto Sans CJK SC"/>
        <family val="2"/>
      </rPr>
      <t xml:space="preserve">需補 </t>
    </r>
    <r>
      <rPr>
        <b val="true"/>
        <sz val="10"/>
        <color rgb="FFFFFFFF"/>
        <rFont val="Arial"/>
        <family val="0"/>
        <charset val="1"/>
      </rPr>
      <t xml:space="preserve">API</t>
    </r>
  </si>
  <si>
    <r>
      <rPr>
        <b val="true"/>
        <sz val="10"/>
        <color rgb="FF1A1F26"/>
        <rFont val="Arial"/>
        <family val="0"/>
        <charset val="1"/>
      </rPr>
      <t xml:space="preserve">011 </t>
    </r>
    <r>
      <rPr>
        <b val="true"/>
        <sz val="10"/>
        <color rgb="FF1A1F26"/>
        <rFont val="Noto Sans CJK SC"/>
        <family val="2"/>
      </rPr>
      <t xml:space="preserve">補強前</t>
    </r>
  </si>
  <si>
    <r>
      <rPr>
        <b val="true"/>
        <sz val="10"/>
        <color rgb="FF1A1F26"/>
        <rFont val="Arial"/>
        <family val="0"/>
        <charset val="1"/>
      </rPr>
      <t xml:space="preserve">011 </t>
    </r>
    <r>
      <rPr>
        <b val="true"/>
        <sz val="10"/>
        <color rgb="FF1A1F26"/>
        <rFont val="Noto Sans CJK SC"/>
        <family val="2"/>
      </rPr>
      <t xml:space="preserve">補強後</t>
    </r>
  </si>
  <si>
    <r>
      <rPr>
        <b val="true"/>
        <sz val="12"/>
        <color rgb="FF00A79B"/>
        <rFont val="Noto Sans CJK SC"/>
        <family val="2"/>
      </rPr>
      <t xml:space="preserve">依領域統計（</t>
    </r>
    <r>
      <rPr>
        <b val="true"/>
        <sz val="12"/>
        <color rgb="FF00A79B"/>
        <rFont val="Arial"/>
        <family val="0"/>
        <charset val="1"/>
      </rPr>
      <t xml:space="preserve">011 </t>
    </r>
    <r>
      <rPr>
        <b val="true"/>
        <sz val="12"/>
        <color rgb="FF00A79B"/>
        <rFont val="Noto Sans CJK SC"/>
        <family val="2"/>
      </rPr>
      <t xml:space="preserve">補強後）</t>
    </r>
  </si>
  <si>
    <t xml:space="preserve">項目數</t>
  </si>
  <si>
    <r>
      <rPr>
        <b val="true"/>
        <sz val="10"/>
        <color rgb="FFFFFFFF"/>
        <rFont val="Arial"/>
        <family val="0"/>
        <charset val="1"/>
      </rPr>
      <t xml:space="preserve">011 </t>
    </r>
    <r>
      <rPr>
        <b val="true"/>
        <sz val="10"/>
        <color rgb="FFFFFFFF"/>
        <rFont val="Noto Sans CJK SC"/>
        <family val="2"/>
      </rPr>
      <t xml:space="preserve">已補強</t>
    </r>
  </si>
  <si>
    <t xml:space="preserve">剩餘人日</t>
  </si>
  <si>
    <t xml:space="preserve">合計</t>
  </si>
  <si>
    <r>
      <rPr>
        <i val="true"/>
        <sz val="9"/>
        <color rgb="FF5A6672"/>
        <rFont val="Noto Sans CJK SC"/>
        <family val="2"/>
      </rPr>
      <t xml:space="preserve">註：「支援」含 完全支援／超越／</t>
    </r>
    <r>
      <rPr>
        <i val="true"/>
        <sz val="9"/>
        <color rgb="FF5A6672"/>
        <rFont val="Arial"/>
        <family val="0"/>
        <charset val="1"/>
      </rPr>
      <t xml:space="preserve">011 </t>
    </r>
    <r>
      <rPr>
        <i val="true"/>
        <sz val="9"/>
        <color rgb="FF5A6672"/>
        <rFont val="Noto Sans CJK SC"/>
        <family val="2"/>
      </rPr>
      <t xml:space="preserve">已補強；剩餘人日僅計後端 </t>
    </r>
    <r>
      <rPr>
        <i val="true"/>
        <sz val="9"/>
        <color rgb="FF5A6672"/>
        <rFont val="Arial"/>
        <family val="0"/>
        <charset val="1"/>
      </rPr>
      <t xml:space="preserve">API </t>
    </r>
    <r>
      <rPr>
        <i val="true"/>
        <sz val="9"/>
        <color rgb="FF5A6672"/>
        <rFont val="Noto Sans CJK SC"/>
        <family val="2"/>
      </rPr>
      <t xml:space="preserve">與服務層，不含前端與 </t>
    </r>
    <r>
      <rPr>
        <i val="true"/>
        <sz val="9"/>
        <color rgb="FF5A6672"/>
        <rFont val="Arial"/>
        <family val="0"/>
        <charset val="1"/>
      </rPr>
      <t xml:space="preserve">BFF</t>
    </r>
    <r>
      <rPr>
        <i val="true"/>
        <sz val="9"/>
        <color rgb="FF5A6672"/>
        <rFont val="Noto Sans CJK SC"/>
        <family val="2"/>
      </rPr>
      <t xml:space="preserve">。</t>
    </r>
  </si>
  <si>
    <r>
      <rPr>
        <b val="true"/>
        <sz val="14"/>
        <color rgb="FF0A0E18"/>
        <rFont val="Noto Sans CJK SC"/>
        <family val="2"/>
      </rPr>
      <t xml:space="preserve">仍需實作的項目（可直接併入 </t>
    </r>
    <r>
      <rPr>
        <b val="true"/>
        <sz val="14"/>
        <color rgb="FF0A0E18"/>
        <rFont val="Arial"/>
        <family val="0"/>
        <charset val="1"/>
      </rPr>
      <t xml:space="preserve">WBS</t>
    </r>
    <r>
      <rPr>
        <b val="true"/>
        <sz val="14"/>
        <color rgb="FF0A0E18"/>
        <rFont val="Noto Sans CJK SC"/>
        <family val="2"/>
      </rPr>
      <t xml:space="preserve">）</t>
    </r>
  </si>
  <si>
    <t xml:space="preserve">優先級</t>
  </si>
  <si>
    <t xml:space="preserve">待辦內容</t>
  </si>
  <si>
    <t xml:space="preserve">建議階段</t>
  </si>
  <si>
    <r>
      <rPr>
        <b val="true"/>
        <sz val="10"/>
        <color rgb="FFFFFFFF"/>
        <rFont val="Noto Sans CJK SC"/>
        <family val="2"/>
      </rPr>
      <t xml:space="preserve">對應 </t>
    </r>
    <r>
      <rPr>
        <b val="true"/>
        <sz val="10"/>
        <color rgb="FFFFFFFF"/>
        <rFont val="Arial"/>
        <family val="0"/>
        <charset val="1"/>
      </rPr>
      <t xml:space="preserve">WBS</t>
    </r>
  </si>
  <si>
    <t xml:space="preserve">P0</t>
  </si>
  <si>
    <r>
      <rPr>
        <sz val="9"/>
        <color rgb="FF1A1F26"/>
        <rFont val="Noto Sans CJK SC"/>
        <family val="2"/>
      </rPr>
      <t xml:space="preserve">合併房間（</t>
    </r>
    <r>
      <rPr>
        <sz val="9"/>
        <color rgb="FF1A1F26"/>
        <rFont val="Arial"/>
        <family val="0"/>
        <charset val="1"/>
      </rPr>
      <t xml:space="preserve">Combinable</t>
    </r>
    <r>
      <rPr>
        <sz val="9"/>
        <color rgb="FF1A1F26"/>
        <rFont val="Noto Sans CJK SC"/>
        <family val="2"/>
      </rPr>
      <t xml:space="preserve">）</t>
    </r>
  </si>
  <si>
    <t xml:space="preserve">第一階段</t>
  </si>
  <si>
    <r>
      <rPr>
        <sz val="9"/>
        <color rgb="FF1A1F26"/>
        <rFont val="Arial"/>
        <family val="0"/>
        <charset val="1"/>
      </rPr>
      <t xml:space="preserve">API</t>
    </r>
    <r>
      <rPr>
        <sz val="9"/>
        <color rgb="FF1A1F26"/>
        <rFont val="Noto Sans CJK SC"/>
        <family val="2"/>
      </rPr>
      <t xml:space="preserve">／服務層實作</t>
    </r>
  </si>
  <si>
    <r>
      <rPr>
        <sz val="9"/>
        <color rgb="FF1A1F26"/>
        <rFont val="Arial"/>
        <family val="0"/>
        <charset val="1"/>
      </rPr>
      <t xml:space="preserve">KPI</t>
    </r>
    <r>
      <rPr>
        <sz val="9"/>
        <color rgb="FF1A1F26"/>
        <rFont val="Noto Sans CJK SC"/>
        <family val="2"/>
      </rPr>
      <t xml:space="preserve">：資源使用率</t>
    </r>
  </si>
  <si>
    <t xml:space="preserve">P1</t>
  </si>
  <si>
    <r>
      <rPr>
        <sz val="9"/>
        <color rgb="FF1A1F26"/>
        <rFont val="Arial"/>
        <family val="0"/>
        <charset val="1"/>
      </rPr>
      <t xml:space="preserve">Microsoft Teams </t>
    </r>
    <r>
      <rPr>
        <sz val="9"/>
        <color rgb="FF1A1F26"/>
        <rFont val="Noto Sans CJK SC"/>
        <family val="2"/>
      </rPr>
      <t xml:space="preserve">會議連結</t>
    </r>
  </si>
  <si>
    <r>
      <rPr>
        <sz val="9"/>
        <color rgb="FF1A1F26"/>
        <rFont val="Noto Sans CJK SC"/>
        <family val="2"/>
      </rPr>
      <t xml:space="preserve">預約分析 </t>
    </r>
    <r>
      <rPr>
        <sz val="9"/>
        <color rgb="FF1A1F26"/>
        <rFont val="Arial"/>
        <family val="0"/>
        <charset val="1"/>
      </rPr>
      <t xml:space="preserve">7 </t>
    </r>
    <r>
      <rPr>
        <sz val="9"/>
        <color rgb="FF1A1F26"/>
        <rFont val="Noto Sans CJK SC"/>
        <family val="2"/>
      </rPr>
      <t xml:space="preserve">種視圖</t>
    </r>
  </si>
  <si>
    <r>
      <rPr>
        <sz val="9"/>
        <color rgb="FF1A1F26"/>
        <rFont val="Noto Sans CJK SC"/>
        <family val="2"/>
      </rPr>
      <t xml:space="preserve">房間控制（</t>
    </r>
    <r>
      <rPr>
        <sz val="9"/>
        <color rgb="FF1A1F26"/>
        <rFont val="Arial"/>
        <family val="0"/>
        <charset val="1"/>
      </rPr>
      <t xml:space="preserve">IoT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</si>
  <si>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預約面板（</t>
    </r>
    <r>
      <rPr>
        <sz val="9"/>
        <color rgb="FF1A1F26"/>
        <rFont val="Arial"/>
        <family val="0"/>
        <charset val="1"/>
      </rPr>
      <t xml:space="preserve">Booking Panel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</si>
  <si>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雙重驗證 </t>
    </r>
    <r>
      <rPr>
        <sz val="9"/>
        <color rgb="FF1A1F26"/>
        <rFont val="Arial"/>
        <family val="0"/>
        <charset val="1"/>
      </rPr>
      <t xml:space="preserve">2FA</t>
    </r>
  </si>
  <si>
    <r>
      <rPr>
        <sz val="9"/>
        <color rgb="FF1A1F26"/>
        <rFont val="Noto Sans CJK SC"/>
        <family val="2"/>
      </rPr>
      <t xml:space="preserve">電子標牌（</t>
    </r>
    <r>
      <rPr>
        <sz val="9"/>
        <color rgb="FF1A1F26"/>
        <rFont val="Arial"/>
        <family val="0"/>
        <charset val="1"/>
      </rPr>
      <t xml:space="preserve">Digital Signage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</si>
  <si>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報告匯出 </t>
    </r>
    <r>
      <rPr>
        <sz val="9"/>
        <color rgb="FF1A1F26"/>
        <rFont val="Arial"/>
        <family val="0"/>
        <charset val="1"/>
      </rPr>
      <t xml:space="preserve">PDF</t>
    </r>
    <r>
      <rPr>
        <sz val="9"/>
        <color rgb="FF1A1F26"/>
        <rFont val="Noto Sans CJK SC"/>
        <family val="2"/>
      </rPr>
      <t xml:space="preserve">／</t>
    </r>
    <r>
      <rPr>
        <sz val="9"/>
        <color rgb="FF1A1F26"/>
        <rFont val="Arial"/>
        <family val="0"/>
        <charset val="1"/>
      </rPr>
      <t xml:space="preserve">Excel</t>
    </r>
  </si>
  <si>
    <r>
      <rPr>
        <sz val="9"/>
        <color rgb="FF1A1F26"/>
        <rFont val="Noto Sans CJK SC"/>
        <family val="2"/>
      </rPr>
      <t xml:space="preserve">缺席分析 </t>
    </r>
    <r>
      <rPr>
        <sz val="9"/>
        <color rgb="FF1A1F26"/>
        <rFont val="Arial"/>
        <family val="0"/>
        <charset val="1"/>
      </rPr>
      <t xml:space="preserve">KPI</t>
    </r>
  </si>
  <si>
    <r>
      <rPr>
        <sz val="9"/>
        <color rgb="FF1A1F26"/>
        <rFont val="Noto Sans CJK SC"/>
        <family val="2"/>
      </rPr>
      <t xml:space="preserve">掃描 </t>
    </r>
    <r>
      <rPr>
        <sz val="9"/>
        <color rgb="FF1A1F26"/>
        <rFont val="Arial"/>
        <family val="0"/>
        <charset val="1"/>
      </rPr>
      <t xml:space="preserve">QR </t>
    </r>
    <r>
      <rPr>
        <sz val="9"/>
        <color rgb="FF1A1F26"/>
        <rFont val="Noto Sans CJK SC"/>
        <family val="2"/>
      </rPr>
      <t xml:space="preserve">快速預約</t>
    </r>
  </si>
  <si>
    <r>
      <rPr>
        <sz val="9"/>
        <color rgb="FF1A1F26"/>
        <rFont val="Noto Sans CJK SC"/>
        <family val="2"/>
      </rPr>
      <t xml:space="preserve">管理日曆：</t>
    </r>
    <r>
      <rPr>
        <sz val="9"/>
        <color rgb="FF1A1F26"/>
        <rFont val="Arial"/>
        <family val="0"/>
        <charset val="1"/>
      </rPr>
      <t xml:space="preserve">4 </t>
    </r>
    <r>
      <rPr>
        <sz val="9"/>
        <color rgb="FF1A1F26"/>
        <rFont val="Noto Sans CJK SC"/>
        <family val="2"/>
      </rPr>
      <t xml:space="preserve">種檢視</t>
    </r>
  </si>
  <si>
    <r>
      <rPr>
        <sz val="9"/>
        <color rgb="FF1A1F26"/>
        <rFont val="Noto Sans CJK SC"/>
        <family val="2"/>
      </rPr>
      <t xml:space="preserve">營業時間 </t>
    </r>
    <r>
      <rPr>
        <sz val="9"/>
        <color rgb="FF1A1F26"/>
        <rFont val="Arial"/>
        <family val="0"/>
        <charset val="1"/>
      </rPr>
      <t xml:space="preserve">vs </t>
    </r>
    <r>
      <rPr>
        <sz val="9"/>
        <color rgb="FF1A1F26"/>
        <rFont val="Noto Sans CJK SC"/>
        <family val="2"/>
      </rPr>
      <t xml:space="preserve">全日 </t>
    </r>
    <r>
      <rPr>
        <sz val="9"/>
        <color rgb="FF1A1F26"/>
        <rFont val="Arial"/>
        <family val="0"/>
        <charset val="1"/>
      </rPr>
      <t xml:space="preserve">24h </t>
    </r>
    <r>
      <rPr>
        <sz val="9"/>
        <color rgb="FF1A1F26"/>
        <rFont val="Noto Sans CJK SC"/>
        <family val="2"/>
      </rPr>
      <t xml:space="preserve">切換</t>
    </r>
  </si>
  <si>
    <t xml:space="preserve">P2</t>
  </si>
  <si>
    <r>
      <rPr>
        <sz val="9"/>
        <color rgb="FF1A1F26"/>
        <rFont val="Arial"/>
        <family val="0"/>
        <charset val="1"/>
      </rPr>
      <t xml:space="preserve">AI </t>
    </r>
    <r>
      <rPr>
        <sz val="9"/>
        <color rgb="FF1A1F26"/>
        <rFont val="Noto Sans CJK SC"/>
        <family val="2"/>
      </rPr>
      <t xml:space="preserve">自然語言查詢</t>
    </r>
  </si>
  <si>
    <t xml:space="preserve">第二／三階段</t>
  </si>
  <si>
    <r>
      <rPr>
        <sz val="9"/>
        <color rgb="FF1A1F26"/>
        <rFont val="Noto Sans CJK SC"/>
        <family val="2"/>
      </rPr>
      <t xml:space="preserve">工作流程（</t>
    </r>
    <r>
      <rPr>
        <sz val="9"/>
        <color rgb="FF1A1F26"/>
        <rFont val="Arial"/>
        <family val="0"/>
        <charset val="1"/>
      </rPr>
      <t xml:space="preserve">Workflow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</si>
  <si>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Arial"/>
        <family val="0"/>
        <charset val="1"/>
      </rPr>
      <t xml:space="preserve">AI </t>
    </r>
    <r>
      <rPr>
        <sz val="9"/>
        <color rgb="FF1A1F26"/>
        <rFont val="Noto Sans CJK SC"/>
        <family val="2"/>
      </rPr>
      <t xml:space="preserve">支援（操作問答）</t>
    </r>
  </si>
  <si>
    <r>
      <rPr>
        <sz val="9"/>
        <color rgb="FF1A1F26"/>
        <rFont val="Arial"/>
        <family val="0"/>
        <charset val="1"/>
      </rPr>
      <t xml:space="preserve">M365 </t>
    </r>
    <r>
      <rPr>
        <sz val="9"/>
        <color rgb="FF1A1F26"/>
        <rFont val="Noto Sans CJK SC"/>
        <family val="2"/>
      </rPr>
      <t xml:space="preserve">聯絡人</t>
    </r>
  </si>
  <si>
    <r>
      <rPr>
        <sz val="9"/>
        <color rgb="FF1A1F26"/>
        <rFont val="Noto Sans CJK SC"/>
        <family val="2"/>
      </rPr>
      <t xml:space="preserve">室內空氣品質（</t>
    </r>
    <r>
      <rPr>
        <sz val="9"/>
        <color rgb="FF1A1F26"/>
        <rFont val="Arial"/>
        <family val="0"/>
        <charset val="1"/>
      </rPr>
      <t xml:space="preserve">IAQ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</si>
  <si>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排行榜前 </t>
    </r>
    <r>
      <rPr>
        <sz val="9"/>
        <color rgb="FF1A1F26"/>
        <rFont val="Arial"/>
        <family val="0"/>
        <charset val="1"/>
      </rPr>
      <t xml:space="preserve">10 </t>
    </r>
    <r>
      <rPr>
        <sz val="9"/>
        <color rgb="FF1A1F26"/>
        <rFont val="Noto Sans CJK SC"/>
        <family val="2"/>
      </rPr>
      <t xml:space="preserve">名資源</t>
    </r>
  </si>
  <si>
    <r>
      <rPr>
        <i val="true"/>
        <sz val="9"/>
        <color rgb="FF5A6672"/>
        <rFont val="Arial"/>
        <family val="0"/>
        <charset val="1"/>
      </rPr>
      <t xml:space="preserve">P0 = Offision </t>
    </r>
    <r>
      <rPr>
        <i val="true"/>
        <sz val="9"/>
        <color rgb="FF5A6672"/>
        <rFont val="Noto Sans CJK SC"/>
        <family val="2"/>
      </rPr>
      <t xml:space="preserve">文件自評必備；</t>
    </r>
    <r>
      <rPr>
        <i val="true"/>
        <sz val="9"/>
        <color rgb="FF5A6672"/>
        <rFont val="Arial"/>
        <family val="0"/>
        <charset val="1"/>
      </rPr>
      <t xml:space="preserve">P1 = </t>
    </r>
    <r>
      <rPr>
        <i val="true"/>
        <sz val="9"/>
        <color rgb="FF5A6672"/>
        <rFont val="Noto Sans CJK SC"/>
        <family val="2"/>
      </rPr>
      <t xml:space="preserve">強烈建議；</t>
    </r>
    <r>
      <rPr>
        <i val="true"/>
        <sz val="9"/>
        <color rgb="FF5A6672"/>
        <rFont val="Arial"/>
        <family val="0"/>
        <charset val="1"/>
      </rPr>
      <t xml:space="preserve">P2 = </t>
    </r>
    <r>
      <rPr>
        <i val="true"/>
        <sz val="9"/>
        <color rgb="FF5A6672"/>
        <rFont val="Noto Sans CJK SC"/>
        <family val="2"/>
      </rPr>
      <t xml:space="preserve">競爭差異化或可延後。</t>
    </r>
  </si>
  <si>
    <t xml:space="preserve">類型</t>
  </si>
  <si>
    <t xml:space="preserve">來源</t>
  </si>
  <si>
    <t xml:space="preserve">用途／佐證內容</t>
  </si>
  <si>
    <t xml:space="preserve">內部文件</t>
  </si>
  <si>
    <r>
      <rPr>
        <sz val="9"/>
        <color rgb="FF1A1F26"/>
        <rFont val="Arial"/>
        <family val="0"/>
        <charset val="1"/>
      </rPr>
      <t xml:space="preserve">Offision</t>
    </r>
    <r>
      <rPr>
        <sz val="9"/>
        <color rgb="FF1A1F26"/>
        <rFont val="Noto Sans CJK SC"/>
        <family val="2"/>
      </rPr>
      <t xml:space="preserve">功能參考文件</t>
    </r>
    <r>
      <rPr>
        <sz val="9"/>
        <color rgb="FF1A1F26"/>
        <rFont val="Arial"/>
        <family val="0"/>
        <charset val="1"/>
      </rPr>
      <t xml:space="preserve">.docx</t>
    </r>
    <r>
      <rPr>
        <sz val="9"/>
        <color rgb="FF1A1F26"/>
        <rFont val="Noto Sans CJK SC"/>
        <family val="2"/>
      </rPr>
      <t xml:space="preserve">（</t>
    </r>
    <r>
      <rPr>
        <sz val="9"/>
        <color rgb="FF1A1F26"/>
        <rFont val="Arial"/>
        <family val="0"/>
        <charset val="1"/>
      </rPr>
      <t xml:space="preserve">Bizlution </t>
    </r>
    <r>
      <rPr>
        <sz val="9"/>
        <color rgb="FF1A1F26"/>
        <rFont val="Noto Sans CJK SC"/>
        <family val="2"/>
      </rPr>
      <t xml:space="preserve">內部整理，</t>
    </r>
    <r>
      <rPr>
        <sz val="9"/>
        <color rgb="FF1A1F26"/>
        <rFont val="Arial"/>
        <family val="0"/>
        <charset val="1"/>
      </rPr>
      <t xml:space="preserve">2026-07</t>
    </r>
    <r>
      <rPr>
        <sz val="9"/>
        <color rgb="FF1A1F26"/>
        <rFont val="Noto Sans CJK SC"/>
        <family val="2"/>
      </rPr>
      <t xml:space="preserve">）</t>
    </r>
  </si>
  <si>
    <r>
      <rPr>
        <sz val="9"/>
        <color rgb="FF1A1F26"/>
        <rFont val="Noto Sans CJK SC"/>
        <family val="2"/>
      </rPr>
      <t xml:space="preserve">功能清單主要依據；平台版本 </t>
    </r>
    <r>
      <rPr>
        <sz val="9"/>
        <color rgb="FF1A1F26"/>
        <rFont val="Arial"/>
        <family val="0"/>
        <charset val="1"/>
      </rPr>
      <t xml:space="preserve">v4.5.4-20067</t>
    </r>
  </si>
  <si>
    <t xml:space="preserve">官方網站</t>
  </si>
  <si>
    <t xml:space="preserve">https://offision.com/features</t>
  </si>
  <si>
    <t xml:space="preserve">模組全覽：房間／桌位／訪客／服務／停車／標牌／平面圖／分析</t>
  </si>
  <si>
    <t xml:space="preserve">https://offision.com/us/scene/69</t>
  </si>
  <si>
    <r>
      <rPr>
        <sz val="9"/>
        <color rgb="FF1A1F26"/>
        <rFont val="Noto Sans CJK SC"/>
        <family val="2"/>
      </rPr>
      <t xml:space="preserve">合併房間：預約複合房間時自動封鎖個別房間 —— 佐證 </t>
    </r>
    <r>
      <rPr>
        <sz val="9"/>
        <color rgb="FF1A1F26"/>
        <rFont val="Arial"/>
        <family val="0"/>
        <charset val="1"/>
      </rPr>
      <t xml:space="preserve">011 </t>
    </r>
    <r>
      <rPr>
        <sz val="9"/>
        <color rgb="FF1A1F26"/>
        <rFont val="Noto Sans CJK SC"/>
        <family val="2"/>
      </rPr>
      <t xml:space="preserve">的 </t>
    </r>
    <r>
      <rPr>
        <sz val="9"/>
        <color rgb="FF1A1F26"/>
        <rFont val="Arial"/>
        <family val="0"/>
        <charset val="1"/>
      </rPr>
      <t xml:space="preserve">shadow </t>
    </r>
    <r>
      <rPr>
        <sz val="9"/>
        <color rgb="FF1A1F26"/>
        <rFont val="Noto Sans CJK SC"/>
        <family val="2"/>
      </rPr>
      <t xml:space="preserve">預約設計</t>
    </r>
  </si>
  <si>
    <t xml:space="preserve">https://offision.com/us/scene/10</t>
  </si>
  <si>
    <t xml:space="preserve">附加服務（餐飲、技術支援）與服務提供者自動通知</t>
  </si>
  <si>
    <t xml:space="preserve">https://offision.com/us/booking-panel</t>
  </si>
  <si>
    <t xml:space="preserve">門外預約面板與現場預約</t>
  </si>
  <si>
    <t xml:space="preserve">https://offision.com/scene/21</t>
  </si>
  <si>
    <r>
      <rPr>
        <sz val="9"/>
        <color rgb="FF1A1F26"/>
        <rFont val="Noto Sans CJK SC"/>
        <family val="2"/>
      </rPr>
      <t xml:space="preserve">預約面板控制門禁 —— 佐證 </t>
    </r>
    <r>
      <rPr>
        <sz val="9"/>
        <color rgb="FF1A1F26"/>
        <rFont val="Arial"/>
        <family val="0"/>
        <charset val="1"/>
      </rPr>
      <t xml:space="preserve">device_commands </t>
    </r>
    <r>
      <rPr>
        <sz val="9"/>
        <color rgb="FF1A1F26"/>
        <rFont val="Noto Sans CJK SC"/>
        <family val="2"/>
      </rPr>
      <t xml:space="preserve">的必要性</t>
    </r>
  </si>
  <si>
    <t xml:space="preserve">https://offision.com/visitor-management</t>
  </si>
  <si>
    <r>
      <rPr>
        <sz val="9"/>
        <color rgb="FF1A1F26"/>
        <rFont val="Noto Sans CJK SC"/>
        <family val="2"/>
      </rPr>
      <t xml:space="preserve">訪客管理可逐棟啟用 —— 佐證 </t>
    </r>
    <r>
      <rPr>
        <sz val="9"/>
        <color rgb="FF1A1F26"/>
        <rFont val="Arial"/>
        <family val="0"/>
        <charset val="1"/>
      </rPr>
      <t xml:space="preserve">facilities.visitor_management_enabled</t>
    </r>
  </si>
  <si>
    <t xml:space="preserve">https://offision.com/us/attendance</t>
  </si>
  <si>
    <t xml:space="preserve">考勤模組（我方建議劃出範圍）</t>
  </si>
  <si>
    <t xml:space="preserve">https://ones.software/us/bookings-one/room-booking/features</t>
  </si>
  <si>
    <t xml:space="preserve">報到機制、未報到自動釋放、設備篩選</t>
  </si>
  <si>
    <t xml:space="preserve">第三方</t>
  </si>
  <si>
    <t xml:space="preserve">https://www.capterra.com/p/10038369/Offision/</t>
  </si>
  <si>
    <r>
      <rPr>
        <sz val="9"/>
        <color rgb="FF1A1F26"/>
        <rFont val="Noto Sans CJK SC"/>
        <family val="2"/>
      </rPr>
      <t xml:space="preserve">定價：</t>
    </r>
    <r>
      <rPr>
        <sz val="9"/>
        <color rgb="FF1A1F26"/>
        <rFont val="Arial"/>
        <family val="0"/>
        <charset val="1"/>
      </rPr>
      <t xml:space="preserve">Swift US$1.99</t>
    </r>
    <r>
      <rPr>
        <sz val="9"/>
        <color rgb="FF1A1F26"/>
        <rFont val="Noto Sans CJK SC"/>
        <family val="2"/>
      </rPr>
      <t xml:space="preserve">／用戶／月，</t>
    </r>
    <r>
      <rPr>
        <sz val="9"/>
        <color rgb="FF1A1F26"/>
        <rFont val="Arial"/>
        <family val="0"/>
        <charset val="1"/>
      </rPr>
      <t xml:space="preserve">Plus US$3.99</t>
    </r>
    <r>
      <rPr>
        <sz val="9"/>
        <color rgb="FF1A1F26"/>
        <rFont val="Noto Sans CJK SC"/>
        <family val="2"/>
      </rPr>
      <t xml:space="preserve">／用戶／月，</t>
    </r>
    <r>
      <rPr>
        <sz val="9"/>
        <color rgb="FF1A1F26"/>
        <rFont val="Arial"/>
        <family val="0"/>
        <charset val="1"/>
      </rPr>
      <t xml:space="preserve">1 </t>
    </r>
    <r>
      <rPr>
        <sz val="9"/>
        <color rgb="FF1A1F26"/>
        <rFont val="Noto Sans CJK SC"/>
        <family val="2"/>
      </rPr>
      <t xml:space="preserve">個月免費試用</t>
    </r>
  </si>
  <si>
    <t xml:space="preserve">註：定價為按人計費，與我方按場館／資源計費的模式不同，比價時需換算。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</si>
</sst>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E18"/>
      <name val="Arial"/>
      <family val="0"/>
      <charset val="1"/>
    </font>
    <font>
      <b val="true"/>
      <sz val="16"/>
      <color rgb="FF0A0E18"/>
      <name val="Noto Sans CJK SC"/>
      <family val="2"/>
    </font>
    <font>
      <b val="true"/>
      <sz val="10"/>
      <color rgb="FF1A1F26"/>
      <name val="Noto Sans CJK SC"/>
      <family val="2"/>
    </font>
    <font>
      <sz val="10"/>
      <color rgb="FF1A1F26"/>
      <name val="Arial"/>
      <family val="0"/>
      <charset val="1"/>
    </font>
    <font>
      <sz val="10"/>
      <color rgb="FF1A1F26"/>
      <name val="Noto Sans CJK SC"/>
      <family val="2"/>
    </font>
    <font>
      <b val="true"/>
      <sz val="10"/>
      <color rgb="FF1A1F2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1A1F26"/>
      <name val="Arial"/>
      <family val="0"/>
      <charset val="1"/>
    </font>
    <font>
      <sz val="9"/>
      <color rgb="FF1A1F26"/>
      <name val="Noto Sans CJK SC"/>
      <family val="2"/>
    </font>
    <font>
      <b val="true"/>
      <sz val="9"/>
      <color rgb="FF1A1F26"/>
      <name val="Noto Sans CJK SC"/>
      <family val="2"/>
    </font>
    <font>
      <sz val="9"/>
      <color rgb="FF0000FF"/>
      <name val="Arial"/>
      <family val="0"/>
      <charset val="1"/>
    </font>
    <font>
      <b val="true"/>
      <sz val="9"/>
      <color rgb="FF1A1F26"/>
      <name val="Arial"/>
      <family val="0"/>
      <charset val="1"/>
    </font>
    <font>
      <b val="true"/>
      <sz val="14"/>
      <color rgb="FF0A0E18"/>
      <name val="Noto Sans CJK SC"/>
      <family val="2"/>
    </font>
    <font>
      <b val="true"/>
      <sz val="12"/>
      <color rgb="FF00A79B"/>
      <name val="Noto Sans CJK SC"/>
      <family val="2"/>
    </font>
    <font>
      <b val="true"/>
      <sz val="12"/>
      <color rgb="FF00A79B"/>
      <name val="Arial"/>
      <family val="0"/>
      <charset val="1"/>
    </font>
    <font>
      <b val="true"/>
      <sz val="11"/>
      <color rgb="FF1A1F26"/>
      <name val="Noto Sans CJK SC"/>
      <family val="2"/>
    </font>
    <font>
      <b val="true"/>
      <sz val="11"/>
      <color rgb="FF1A1F26"/>
      <name val="Arial"/>
      <family val="0"/>
      <charset val="1"/>
    </font>
    <font>
      <i val="true"/>
      <sz val="9"/>
      <color rgb="FF5A6672"/>
      <name val="Noto Sans CJK SC"/>
      <family val="2"/>
    </font>
    <font>
      <i val="true"/>
      <sz val="9"/>
      <color rgb="FF5A6672"/>
      <name val="Arial"/>
      <family val="0"/>
      <charset val="1"/>
    </font>
    <font>
      <b val="true"/>
      <sz val="14"/>
      <color rgb="FF0A0E1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A0E18"/>
        <bgColor rgb="FF000000"/>
      </patternFill>
    </fill>
    <fill>
      <patternFill patternType="solid">
        <fgColor rgb="FFE0F5F3"/>
        <bgColor rgb="FFE3F5EC"/>
      </patternFill>
    </fill>
    <fill>
      <patternFill patternType="solid">
        <fgColor rgb="FFE3F5EC"/>
        <bgColor rgb="FFE0F5F3"/>
      </patternFill>
    </fill>
    <fill>
      <patternFill patternType="solid">
        <fgColor rgb="FFFFF1DA"/>
        <bgColor rgb="FFFFF6CC"/>
      </patternFill>
    </fill>
    <fill>
      <patternFill patternType="solid">
        <fgColor rgb="FFFDE7E7"/>
        <bgColor rgb="FFFFF1DA"/>
      </patternFill>
    </fill>
    <fill>
      <patternFill patternType="solid">
        <fgColor rgb="FFEDEFF1"/>
        <bgColor rgb="FFE8EEF2"/>
      </patternFill>
    </fill>
    <fill>
      <patternFill patternType="solid">
        <fgColor rgb="FFFFF6CC"/>
        <bgColor rgb="FFFFF1DA"/>
      </patternFill>
    </fill>
    <fill>
      <patternFill patternType="solid">
        <fgColor rgb="FFF2F5F7"/>
        <bgColor rgb="FFEDEFF1"/>
      </patternFill>
    </fill>
    <fill>
      <patternFill patternType="solid">
        <fgColor rgb="FFE8EEF2"/>
        <bgColor rgb="FFEDEF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8D0"/>
      </left>
      <right style="thin">
        <color rgb="FFBFC8D0"/>
      </right>
      <top style="thin">
        <color rgb="FFBFC8D0"/>
      </top>
      <bottom style="thin">
        <color rgb="FFBFC8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79B"/>
      <rgbColor rgb="FFBFC8D0"/>
      <rgbColor rgb="FF808080"/>
      <rgbColor rgb="FF9999FF"/>
      <rgbColor rgb="FF993366"/>
      <rgbColor rgb="FFFFF6CC"/>
      <rgbColor rgb="FFE0F5F3"/>
      <rgbColor rgb="FF660066"/>
      <rgbColor rgb="FFFF8080"/>
      <rgbColor rgb="FF0066CC"/>
      <rgbColor rgb="FFEDEF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5EC"/>
      <rgbColor rgb="FFE8EEF2"/>
      <rgbColor rgb="FFFFF1DA"/>
      <rgbColor rgb="FFF2F5F7"/>
      <rgbColor rgb="FFFF99CC"/>
      <rgbColor rgb="FFCC99FF"/>
      <rgbColor rgb="FFFDE7E7"/>
      <rgbColor rgb="FF3366FF"/>
      <rgbColor rgb="FF33CCCC"/>
      <rgbColor rgb="FF99CC00"/>
      <rgbColor rgb="FFFFCC00"/>
      <rgbColor rgb="FFFF9900"/>
      <rgbColor rgb="FFFF6600"/>
      <rgbColor rgb="FF5A6672"/>
      <rgbColor rgb="FF969696"/>
      <rgbColor rgb="FF003366"/>
      <rgbColor rgb="FF339966"/>
      <rgbColor rgb="FF0A0E18"/>
      <rgbColor rgb="FF333300"/>
      <rgbColor rgb="FF993300"/>
      <rgbColor rgb="FF993366"/>
      <rgbColor rgb="FF333399"/>
      <rgbColor rgb="FF1A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23.8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tr">
        <f aca="false">"共 "&amp;COUNTA(對照矩陣!A2:A400)&amp;" 項"</f>
        <v>共 139 項</v>
      </c>
    </row>
    <row r="7" customFormat="false" ht="15" hidden="false" customHeight="false" outlineLevel="0" collapsed="false">
      <c r="A7" s="2" t="s">
        <v>8</v>
      </c>
      <c r="B7" s="3" t="str">
        <f aca="false">"完全支援或超越 "&amp;TEXT(統計摘要!$D$6,"0%")&amp;"；缺口 "&amp;TEXT(統計摘要!$F$6,"0%")</f>
        <v>完全支援或超越 55%；缺口 29%</v>
      </c>
    </row>
    <row r="8" customFormat="false" ht="15" hidden="false" customHeight="false" outlineLevel="0" collapsed="false">
      <c r="A8" s="2" t="s">
        <v>9</v>
      </c>
      <c r="B8" s="3" t="str">
        <f aca="false">"完全支援或超越 "&amp;TEXT(統計摘要!$D$7,"0%")&amp;"；剩餘缺口 "&amp;TEXT(統計摘要!$F$7,"0%")</f>
        <v>完全支援或超越 83%；剩餘缺口 4%</v>
      </c>
    </row>
    <row r="9" customFormat="false" ht="15" hidden="false" customHeight="false" outlineLevel="0" collapsed="false">
      <c r="A9" s="2" t="s">
        <v>10</v>
      </c>
      <c r="B9" s="3" t="str">
        <f aca="false">"API／服務層 "&amp;TEXT(對照矩陣!$K$141,"0.0")&amp;" 人日（不含前端，另計 011 已完成的資料層）"</f>
        <v>API／服務層 160.0 人日（不含前端，另計 011 已完成的資料層）</v>
      </c>
    </row>
    <row r="11" customFormat="false" ht="15" hidden="false" customHeight="false" outlineLevel="0" collapsed="false">
      <c r="A11" s="4" t="s">
        <v>11</v>
      </c>
      <c r="B11" s="5"/>
    </row>
    <row r="12" customFormat="false" ht="15" hidden="false" customHeight="false" outlineLevel="0" collapsed="false">
      <c r="A12" s="2" t="s">
        <v>12</v>
      </c>
      <c r="B12" s="6" t="s">
        <v>13</v>
      </c>
    </row>
    <row r="13" customFormat="false" ht="15" hidden="false" customHeight="false" outlineLevel="0" collapsed="false">
      <c r="A13" s="2" t="s">
        <v>14</v>
      </c>
      <c r="B13" s="6" t="s">
        <v>15</v>
      </c>
    </row>
    <row r="14" customFormat="false" ht="15" hidden="false" customHeight="false" outlineLevel="0" collapsed="false">
      <c r="A14" s="2" t="s">
        <v>16</v>
      </c>
      <c r="B14" s="6" t="s">
        <v>17</v>
      </c>
    </row>
    <row r="15" customFormat="false" ht="15" hidden="false" customHeight="false" outlineLevel="0" collapsed="false">
      <c r="A15" s="2" t="s">
        <v>18</v>
      </c>
      <c r="B15" s="6" t="s">
        <v>19</v>
      </c>
    </row>
    <row r="17" customFormat="false" ht="15" hidden="false" customHeight="false" outlineLevel="0" collapsed="false">
      <c r="A17" s="4" t="s">
        <v>20</v>
      </c>
      <c r="B17" s="5"/>
    </row>
    <row r="18" customFormat="false" ht="15" hidden="false" customHeight="false" outlineLevel="0" collapsed="false">
      <c r="A18" s="7" t="s">
        <v>21</v>
      </c>
      <c r="B18" s="6" t="s">
        <v>22</v>
      </c>
    </row>
    <row r="19" customFormat="false" ht="15" hidden="false" customHeight="false" outlineLevel="0" collapsed="false">
      <c r="A19" s="8" t="s">
        <v>23</v>
      </c>
      <c r="B19" s="6" t="s">
        <v>24</v>
      </c>
    </row>
    <row r="20" customFormat="false" ht="15" hidden="false" customHeight="false" outlineLevel="0" collapsed="false">
      <c r="A20" s="9" t="s">
        <v>25</v>
      </c>
      <c r="B20" s="6" t="s">
        <v>26</v>
      </c>
    </row>
    <row r="21" customFormat="false" ht="15" hidden="false" customHeight="false" outlineLevel="0" collapsed="false">
      <c r="A21" s="10" t="s">
        <v>27</v>
      </c>
      <c r="B21" s="6" t="s">
        <v>28</v>
      </c>
    </row>
    <row r="22" customFormat="false" ht="15" hidden="false" customHeight="false" outlineLevel="0" collapsed="false">
      <c r="A22" s="11" t="s">
        <v>29</v>
      </c>
      <c r="B22" s="6" t="s">
        <v>30</v>
      </c>
    </row>
    <row r="23" customFormat="false" ht="15" hidden="false" customHeight="false" outlineLevel="0" collapsed="false">
      <c r="A23" s="12" t="s">
        <v>31</v>
      </c>
      <c r="B23" s="6" t="s">
        <v>32</v>
      </c>
    </row>
    <row r="25" customFormat="false" ht="15" hidden="false" customHeight="false" outlineLevel="0" collapsed="false">
      <c r="A25" s="4" t="s">
        <v>33</v>
      </c>
      <c r="B25" s="5"/>
    </row>
    <row r="26" customFormat="false" ht="15" hidden="false" customHeight="false" outlineLevel="0" collapsed="false">
      <c r="A26" s="2" t="s">
        <v>34</v>
      </c>
      <c r="B26" s="6" t="s">
        <v>35</v>
      </c>
    </row>
    <row r="27" customFormat="false" ht="15" hidden="false" customHeight="false" outlineLevel="0" collapsed="false">
      <c r="A27" s="2" t="s">
        <v>36</v>
      </c>
      <c r="B27" s="6" t="s">
        <v>37</v>
      </c>
    </row>
    <row r="28" customFormat="false" ht="15" hidden="false" customHeight="false" outlineLevel="0" collapsed="false">
      <c r="A28" s="2" t="s">
        <v>38</v>
      </c>
      <c r="B28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38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13" t="s">
        <v>40</v>
      </c>
      <c r="B1" s="14" t="s">
        <v>41</v>
      </c>
      <c r="C1" s="13" t="s">
        <v>42</v>
      </c>
      <c r="D1" s="13" t="s">
        <v>43</v>
      </c>
      <c r="E1" s="14" t="s">
        <v>44</v>
      </c>
      <c r="F1" s="14" t="s">
        <v>45</v>
      </c>
      <c r="G1" s="14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  <c r="M1" s="13" t="s">
        <v>52</v>
      </c>
    </row>
    <row r="2" customFormat="false" ht="26.85" hidden="false" customHeight="false" outlineLevel="0" collapsed="false">
      <c r="A2" s="15" t="n">
        <v>1</v>
      </c>
      <c r="B2" s="15" t="s">
        <v>53</v>
      </c>
      <c r="C2" s="16" t="s">
        <v>54</v>
      </c>
      <c r="D2" s="17" t="s">
        <v>55</v>
      </c>
      <c r="E2" s="18" t="s">
        <v>56</v>
      </c>
      <c r="F2" s="19" t="s">
        <v>21</v>
      </c>
      <c r="G2" s="19" t="s">
        <v>21</v>
      </c>
      <c r="H2" s="18" t="s">
        <v>57</v>
      </c>
      <c r="I2" s="18" t="s">
        <v>58</v>
      </c>
      <c r="J2" s="16" t="s">
        <v>59</v>
      </c>
      <c r="K2" s="20" t="n">
        <v>0</v>
      </c>
      <c r="L2" s="21" t="s">
        <v>60</v>
      </c>
      <c r="M2" s="22"/>
    </row>
    <row r="3" customFormat="false" ht="15" hidden="false" customHeight="false" outlineLevel="0" collapsed="false">
      <c r="A3" s="23" t="n">
        <v>2</v>
      </c>
      <c r="B3" s="23" t="s">
        <v>61</v>
      </c>
      <c r="C3" s="24" t="s">
        <v>54</v>
      </c>
      <c r="D3" s="25" t="s">
        <v>62</v>
      </c>
      <c r="E3" s="24" t="s">
        <v>63</v>
      </c>
      <c r="F3" s="19" t="s">
        <v>21</v>
      </c>
      <c r="G3" s="19" t="s">
        <v>21</v>
      </c>
      <c r="H3" s="24" t="s">
        <v>64</v>
      </c>
      <c r="I3" s="26" t="s">
        <v>65</v>
      </c>
      <c r="J3" s="24" t="s">
        <v>66</v>
      </c>
      <c r="K3" s="27" t="n">
        <v>0</v>
      </c>
      <c r="L3" s="21" t="s">
        <v>60</v>
      </c>
      <c r="M3" s="22"/>
    </row>
    <row r="4" customFormat="false" ht="26.85" hidden="false" customHeight="false" outlineLevel="0" collapsed="false">
      <c r="A4" s="15" t="n">
        <v>3</v>
      </c>
      <c r="B4" s="15" t="s">
        <v>67</v>
      </c>
      <c r="C4" s="16" t="s">
        <v>68</v>
      </c>
      <c r="D4" s="17" t="s">
        <v>69</v>
      </c>
      <c r="E4" s="18" t="s">
        <v>70</v>
      </c>
      <c r="F4" s="19" t="s">
        <v>21</v>
      </c>
      <c r="G4" s="19" t="s">
        <v>21</v>
      </c>
      <c r="H4" s="18" t="s">
        <v>71</v>
      </c>
      <c r="I4" s="18" t="s">
        <v>72</v>
      </c>
      <c r="J4" s="16" t="s">
        <v>73</v>
      </c>
      <c r="K4" s="20" t="n">
        <v>0</v>
      </c>
      <c r="L4" s="21" t="s">
        <v>60</v>
      </c>
      <c r="M4" s="22"/>
    </row>
    <row r="5" customFormat="false" ht="22.35" hidden="false" customHeight="false" outlineLevel="0" collapsed="false">
      <c r="A5" s="23" t="n">
        <v>4</v>
      </c>
      <c r="B5" s="23" t="s">
        <v>61</v>
      </c>
      <c r="C5" s="24" t="s">
        <v>68</v>
      </c>
      <c r="D5" s="28" t="s">
        <v>74</v>
      </c>
      <c r="E5" s="24" t="s">
        <v>75</v>
      </c>
      <c r="F5" s="29" t="s">
        <v>76</v>
      </c>
      <c r="G5" s="29" t="s">
        <v>76</v>
      </c>
      <c r="H5" s="26" t="s">
        <v>77</v>
      </c>
      <c r="I5" s="26" t="s">
        <v>65</v>
      </c>
      <c r="J5" s="26" t="s">
        <v>78</v>
      </c>
      <c r="K5" s="27" t="n">
        <v>2</v>
      </c>
      <c r="L5" s="21" t="s">
        <v>60</v>
      </c>
      <c r="M5" s="22"/>
    </row>
    <row r="6" customFormat="false" ht="15" hidden="false" customHeight="false" outlineLevel="0" collapsed="false">
      <c r="A6" s="15" t="n">
        <v>5</v>
      </c>
      <c r="B6" s="15" t="s">
        <v>79</v>
      </c>
      <c r="C6" s="16" t="s">
        <v>80</v>
      </c>
      <c r="D6" s="17" t="s">
        <v>81</v>
      </c>
      <c r="E6" s="16" t="s">
        <v>82</v>
      </c>
      <c r="F6" s="30" t="s">
        <v>29</v>
      </c>
      <c r="G6" s="31" t="s">
        <v>83</v>
      </c>
      <c r="H6" s="18" t="s">
        <v>84</v>
      </c>
      <c r="I6" s="18" t="s">
        <v>85</v>
      </c>
      <c r="J6" s="18" t="s">
        <v>86</v>
      </c>
      <c r="K6" s="20" t="n">
        <v>2.5</v>
      </c>
      <c r="L6" s="21" t="s">
        <v>60</v>
      </c>
      <c r="M6" s="22"/>
    </row>
    <row r="7" customFormat="false" ht="15" hidden="false" customHeight="false" outlineLevel="0" collapsed="false">
      <c r="A7" s="23" t="n">
        <v>6</v>
      </c>
      <c r="B7" s="23" t="s">
        <v>79</v>
      </c>
      <c r="C7" s="24" t="s">
        <v>80</v>
      </c>
      <c r="D7" s="28" t="s">
        <v>87</v>
      </c>
      <c r="E7" s="24" t="s">
        <v>88</v>
      </c>
      <c r="F7" s="32" t="s">
        <v>23</v>
      </c>
      <c r="G7" s="32" t="s">
        <v>23</v>
      </c>
      <c r="H7" s="26" t="s">
        <v>89</v>
      </c>
      <c r="I7" s="26" t="s">
        <v>90</v>
      </c>
      <c r="J7" s="26"/>
      <c r="K7" s="27" t="n">
        <v>0</v>
      </c>
      <c r="L7" s="21" t="s">
        <v>60</v>
      </c>
      <c r="M7" s="22"/>
    </row>
    <row r="8" customFormat="false" ht="22.35" hidden="false" customHeight="false" outlineLevel="0" collapsed="false">
      <c r="A8" s="15" t="n">
        <v>7</v>
      </c>
      <c r="B8" s="15" t="s">
        <v>79</v>
      </c>
      <c r="C8" s="16" t="s">
        <v>80</v>
      </c>
      <c r="D8" s="17" t="s">
        <v>91</v>
      </c>
      <c r="E8" s="16" t="s">
        <v>92</v>
      </c>
      <c r="F8" s="32" t="s">
        <v>23</v>
      </c>
      <c r="G8" s="32" t="s">
        <v>23</v>
      </c>
      <c r="H8" s="18" t="s">
        <v>93</v>
      </c>
      <c r="I8" s="16" t="s">
        <v>94</v>
      </c>
      <c r="J8" s="16" t="s">
        <v>95</v>
      </c>
      <c r="K8" s="20" t="n">
        <v>0</v>
      </c>
      <c r="L8" s="21" t="s">
        <v>60</v>
      </c>
      <c r="M8" s="22"/>
    </row>
    <row r="9" customFormat="false" ht="22.35" hidden="false" customHeight="false" outlineLevel="0" collapsed="false">
      <c r="A9" s="23" t="n">
        <v>8</v>
      </c>
      <c r="B9" s="23" t="s">
        <v>79</v>
      </c>
      <c r="C9" s="24" t="s">
        <v>80</v>
      </c>
      <c r="D9" s="28" t="s">
        <v>96</v>
      </c>
      <c r="E9" s="24" t="s">
        <v>97</v>
      </c>
      <c r="F9" s="32" t="s">
        <v>23</v>
      </c>
      <c r="G9" s="32" t="s">
        <v>23</v>
      </c>
      <c r="H9" s="26" t="s">
        <v>98</v>
      </c>
      <c r="I9" s="24" t="s">
        <v>94</v>
      </c>
      <c r="J9" s="24" t="s">
        <v>99</v>
      </c>
      <c r="K9" s="27" t="n">
        <v>0</v>
      </c>
      <c r="L9" s="21" t="s">
        <v>60</v>
      </c>
      <c r="M9" s="22"/>
    </row>
    <row r="10" customFormat="false" ht="22.35" hidden="false" customHeight="false" outlineLevel="0" collapsed="false">
      <c r="A10" s="15" t="n">
        <v>9</v>
      </c>
      <c r="B10" s="15" t="s">
        <v>79</v>
      </c>
      <c r="C10" s="16" t="s">
        <v>80</v>
      </c>
      <c r="D10" s="17" t="s">
        <v>100</v>
      </c>
      <c r="E10" s="16" t="s">
        <v>101</v>
      </c>
      <c r="F10" s="32" t="s">
        <v>23</v>
      </c>
      <c r="G10" s="32" t="s">
        <v>23</v>
      </c>
      <c r="H10" s="18" t="s">
        <v>102</v>
      </c>
      <c r="I10" s="16" t="s">
        <v>94</v>
      </c>
      <c r="J10" s="18"/>
      <c r="K10" s="20" t="n">
        <v>0</v>
      </c>
      <c r="L10" s="21" t="s">
        <v>60</v>
      </c>
      <c r="M10" s="22"/>
    </row>
    <row r="11" customFormat="false" ht="15" hidden="false" customHeight="false" outlineLevel="0" collapsed="false">
      <c r="A11" s="23" t="n">
        <v>10</v>
      </c>
      <c r="B11" s="23" t="s">
        <v>79</v>
      </c>
      <c r="C11" s="24" t="s">
        <v>80</v>
      </c>
      <c r="D11" s="28" t="s">
        <v>103</v>
      </c>
      <c r="E11" s="24" t="s">
        <v>104</v>
      </c>
      <c r="F11" s="32" t="s">
        <v>23</v>
      </c>
      <c r="G11" s="32" t="s">
        <v>23</v>
      </c>
      <c r="H11" s="26" t="s">
        <v>105</v>
      </c>
      <c r="I11" s="26" t="s">
        <v>106</v>
      </c>
      <c r="J11" s="26"/>
      <c r="K11" s="27" t="n">
        <v>0</v>
      </c>
      <c r="L11" s="21" t="s">
        <v>60</v>
      </c>
      <c r="M11" s="22"/>
    </row>
    <row r="12" customFormat="false" ht="26.85" hidden="false" customHeight="false" outlineLevel="0" collapsed="false">
      <c r="A12" s="15" t="n">
        <v>11</v>
      </c>
      <c r="B12" s="15" t="s">
        <v>79</v>
      </c>
      <c r="C12" s="16" t="s">
        <v>80</v>
      </c>
      <c r="D12" s="17" t="s">
        <v>107</v>
      </c>
      <c r="E12" s="16" t="s">
        <v>108</v>
      </c>
      <c r="F12" s="30" t="s">
        <v>29</v>
      </c>
      <c r="G12" s="31" t="s">
        <v>83</v>
      </c>
      <c r="H12" s="18" t="s">
        <v>109</v>
      </c>
      <c r="I12" s="18" t="s">
        <v>110</v>
      </c>
      <c r="J12" s="18" t="s">
        <v>111</v>
      </c>
      <c r="K12" s="20" t="n">
        <v>6</v>
      </c>
      <c r="L12" s="21" t="s">
        <v>60</v>
      </c>
      <c r="M12" s="22"/>
    </row>
    <row r="13" customFormat="false" ht="22.35" hidden="false" customHeight="false" outlineLevel="0" collapsed="false">
      <c r="A13" s="23" t="n">
        <v>12</v>
      </c>
      <c r="B13" s="23" t="s">
        <v>79</v>
      </c>
      <c r="C13" s="24" t="s">
        <v>80</v>
      </c>
      <c r="D13" s="28" t="s">
        <v>112</v>
      </c>
      <c r="E13" s="24" t="s">
        <v>113</v>
      </c>
      <c r="F13" s="19" t="s">
        <v>21</v>
      </c>
      <c r="G13" s="19" t="s">
        <v>21</v>
      </c>
      <c r="H13" s="26" t="s">
        <v>114</v>
      </c>
      <c r="I13" s="26" t="s">
        <v>115</v>
      </c>
      <c r="J13" s="24" t="s">
        <v>116</v>
      </c>
      <c r="K13" s="27" t="n">
        <v>0</v>
      </c>
      <c r="L13" s="21" t="s">
        <v>60</v>
      </c>
      <c r="M13" s="22"/>
    </row>
    <row r="14" customFormat="false" ht="24.6" hidden="false" customHeight="false" outlineLevel="0" collapsed="false">
      <c r="A14" s="15" t="n">
        <v>13</v>
      </c>
      <c r="B14" s="15" t="s">
        <v>79</v>
      </c>
      <c r="C14" s="16" t="s">
        <v>80</v>
      </c>
      <c r="D14" s="17" t="s">
        <v>117</v>
      </c>
      <c r="E14" s="16" t="s">
        <v>118</v>
      </c>
      <c r="F14" s="32" t="s">
        <v>23</v>
      </c>
      <c r="G14" s="32" t="s">
        <v>23</v>
      </c>
      <c r="H14" s="18" t="s">
        <v>119</v>
      </c>
      <c r="I14" s="18" t="s">
        <v>120</v>
      </c>
      <c r="J14" s="16" t="s">
        <v>121</v>
      </c>
      <c r="K14" s="20" t="n">
        <v>0.5</v>
      </c>
      <c r="L14" s="21" t="s">
        <v>60</v>
      </c>
      <c r="M14" s="22"/>
    </row>
    <row r="15" customFormat="false" ht="15" hidden="false" customHeight="false" outlineLevel="0" collapsed="false">
      <c r="A15" s="23" t="n">
        <v>14</v>
      </c>
      <c r="B15" s="23" t="s">
        <v>79</v>
      </c>
      <c r="C15" s="24" t="s">
        <v>80</v>
      </c>
      <c r="D15" s="28" t="s">
        <v>122</v>
      </c>
      <c r="E15" s="24" t="s">
        <v>123</v>
      </c>
      <c r="F15" s="19" t="s">
        <v>21</v>
      </c>
      <c r="G15" s="19" t="s">
        <v>21</v>
      </c>
      <c r="H15" s="26" t="s">
        <v>124</v>
      </c>
      <c r="I15" s="26" t="s">
        <v>115</v>
      </c>
      <c r="J15" s="26"/>
      <c r="K15" s="27" t="n">
        <v>0</v>
      </c>
      <c r="L15" s="21" t="s">
        <v>60</v>
      </c>
      <c r="M15" s="22"/>
    </row>
    <row r="16" customFormat="false" ht="22.35" hidden="false" customHeight="false" outlineLevel="0" collapsed="false">
      <c r="A16" s="15" t="n">
        <v>15</v>
      </c>
      <c r="B16" s="15" t="s">
        <v>79</v>
      </c>
      <c r="C16" s="16" t="s">
        <v>80</v>
      </c>
      <c r="D16" s="17" t="s">
        <v>125</v>
      </c>
      <c r="E16" s="16" t="s">
        <v>126</v>
      </c>
      <c r="F16" s="30" t="s">
        <v>29</v>
      </c>
      <c r="G16" s="31" t="s">
        <v>83</v>
      </c>
      <c r="H16" s="18" t="s">
        <v>127</v>
      </c>
      <c r="I16" s="18" t="s">
        <v>128</v>
      </c>
      <c r="J16" s="18" t="s">
        <v>129</v>
      </c>
      <c r="K16" s="20" t="n">
        <v>1.5</v>
      </c>
      <c r="L16" s="21" t="s">
        <v>60</v>
      </c>
      <c r="M16" s="22"/>
    </row>
    <row r="17" customFormat="false" ht="15" hidden="false" customHeight="false" outlineLevel="0" collapsed="false">
      <c r="A17" s="23" t="n">
        <v>16</v>
      </c>
      <c r="B17" s="23" t="s">
        <v>130</v>
      </c>
      <c r="C17" s="24" t="s">
        <v>131</v>
      </c>
      <c r="D17" s="28" t="s">
        <v>132</v>
      </c>
      <c r="E17" s="24" t="s">
        <v>133</v>
      </c>
      <c r="F17" s="32" t="s">
        <v>23</v>
      </c>
      <c r="G17" s="32" t="s">
        <v>23</v>
      </c>
      <c r="H17" s="26" t="s">
        <v>134</v>
      </c>
      <c r="I17" s="26" t="s">
        <v>120</v>
      </c>
      <c r="J17" s="26"/>
      <c r="K17" s="27" t="n">
        <v>0</v>
      </c>
      <c r="L17" s="21" t="s">
        <v>60</v>
      </c>
      <c r="M17" s="22"/>
    </row>
    <row r="18" customFormat="false" ht="26.85" hidden="false" customHeight="false" outlineLevel="0" collapsed="false">
      <c r="A18" s="15" t="n">
        <v>17</v>
      </c>
      <c r="B18" s="15" t="s">
        <v>130</v>
      </c>
      <c r="C18" s="16" t="s">
        <v>131</v>
      </c>
      <c r="D18" s="17" t="s">
        <v>135</v>
      </c>
      <c r="E18" s="16" t="s">
        <v>136</v>
      </c>
      <c r="F18" s="32" t="s">
        <v>23</v>
      </c>
      <c r="G18" s="32" t="s">
        <v>23</v>
      </c>
      <c r="H18" s="18" t="s">
        <v>137</v>
      </c>
      <c r="I18" s="18" t="s">
        <v>120</v>
      </c>
      <c r="J18" s="16" t="s">
        <v>138</v>
      </c>
      <c r="K18" s="20" t="n">
        <v>3</v>
      </c>
      <c r="L18" s="21" t="s">
        <v>60</v>
      </c>
      <c r="M18" s="22"/>
    </row>
    <row r="19" customFormat="false" ht="15" hidden="false" customHeight="false" outlineLevel="0" collapsed="false">
      <c r="A19" s="23" t="n">
        <v>18</v>
      </c>
      <c r="B19" s="23" t="s">
        <v>130</v>
      </c>
      <c r="C19" s="24" t="s">
        <v>131</v>
      </c>
      <c r="D19" s="28" t="s">
        <v>139</v>
      </c>
      <c r="E19" s="24" t="s">
        <v>140</v>
      </c>
      <c r="F19" s="32" t="s">
        <v>23</v>
      </c>
      <c r="G19" s="32" t="s">
        <v>23</v>
      </c>
      <c r="H19" s="26" t="s">
        <v>141</v>
      </c>
      <c r="I19" s="26" t="s">
        <v>120</v>
      </c>
      <c r="J19" s="24" t="s">
        <v>142</v>
      </c>
      <c r="K19" s="27" t="n">
        <v>1.5</v>
      </c>
      <c r="L19" s="21" t="s">
        <v>60</v>
      </c>
      <c r="M19" s="22"/>
    </row>
    <row r="20" customFormat="false" ht="15" hidden="false" customHeight="false" outlineLevel="0" collapsed="false">
      <c r="A20" s="15" t="n">
        <v>19</v>
      </c>
      <c r="B20" s="15" t="s">
        <v>143</v>
      </c>
      <c r="C20" s="16" t="s">
        <v>131</v>
      </c>
      <c r="D20" s="17" t="s">
        <v>144</v>
      </c>
      <c r="E20" s="16" t="s">
        <v>145</v>
      </c>
      <c r="F20" s="29" t="s">
        <v>76</v>
      </c>
      <c r="G20" s="29" t="s">
        <v>76</v>
      </c>
      <c r="H20" s="18" t="s">
        <v>146</v>
      </c>
      <c r="I20" s="18" t="s">
        <v>147</v>
      </c>
      <c r="J20" s="16" t="s">
        <v>148</v>
      </c>
      <c r="K20" s="20" t="n">
        <v>3</v>
      </c>
      <c r="L20" s="21" t="s">
        <v>60</v>
      </c>
      <c r="M20" s="22"/>
    </row>
    <row r="21" customFormat="false" ht="22.35" hidden="false" customHeight="false" outlineLevel="0" collapsed="false">
      <c r="A21" s="23" t="n">
        <v>20</v>
      </c>
      <c r="B21" s="23" t="s">
        <v>143</v>
      </c>
      <c r="C21" s="24" t="s">
        <v>131</v>
      </c>
      <c r="D21" s="28" t="s">
        <v>149</v>
      </c>
      <c r="E21" s="26" t="s">
        <v>150</v>
      </c>
      <c r="F21" s="29" t="s">
        <v>76</v>
      </c>
      <c r="G21" s="29" t="s">
        <v>76</v>
      </c>
      <c r="H21" s="26" t="s">
        <v>151</v>
      </c>
      <c r="I21" s="26" t="s">
        <v>152</v>
      </c>
      <c r="J21" s="26" t="s">
        <v>153</v>
      </c>
      <c r="K21" s="27" t="n">
        <v>1</v>
      </c>
      <c r="L21" s="21" t="s">
        <v>60</v>
      </c>
      <c r="M21" s="22"/>
    </row>
    <row r="22" customFormat="false" ht="15" hidden="false" customHeight="false" outlineLevel="0" collapsed="false">
      <c r="A22" s="15" t="n">
        <v>21</v>
      </c>
      <c r="B22" s="15" t="s">
        <v>154</v>
      </c>
      <c r="C22" s="16" t="s">
        <v>131</v>
      </c>
      <c r="D22" s="17" t="s">
        <v>155</v>
      </c>
      <c r="E22" s="16" t="s">
        <v>156</v>
      </c>
      <c r="F22" s="32" t="s">
        <v>23</v>
      </c>
      <c r="G22" s="32" t="s">
        <v>23</v>
      </c>
      <c r="H22" s="18" t="s">
        <v>157</v>
      </c>
      <c r="I22" s="18" t="s">
        <v>65</v>
      </c>
      <c r="J22" s="18"/>
      <c r="K22" s="20" t="n">
        <v>0</v>
      </c>
      <c r="L22" s="21" t="s">
        <v>60</v>
      </c>
      <c r="M22" s="22"/>
    </row>
    <row r="23" customFormat="false" ht="26.85" hidden="false" customHeight="false" outlineLevel="0" collapsed="false">
      <c r="A23" s="23" t="n">
        <v>22</v>
      </c>
      <c r="B23" s="23" t="s">
        <v>154</v>
      </c>
      <c r="C23" s="24" t="s">
        <v>131</v>
      </c>
      <c r="D23" s="28" t="s">
        <v>158</v>
      </c>
      <c r="E23" s="24" t="s">
        <v>159</v>
      </c>
      <c r="F23" s="30" t="s">
        <v>29</v>
      </c>
      <c r="G23" s="31" t="s">
        <v>83</v>
      </c>
      <c r="H23" s="26" t="s">
        <v>160</v>
      </c>
      <c r="I23" s="26" t="s">
        <v>161</v>
      </c>
      <c r="J23" s="26" t="s">
        <v>162</v>
      </c>
      <c r="K23" s="27" t="n">
        <v>1.5</v>
      </c>
      <c r="L23" s="21" t="s">
        <v>60</v>
      </c>
      <c r="M23" s="22"/>
    </row>
    <row r="24" customFormat="false" ht="15" hidden="false" customHeight="false" outlineLevel="0" collapsed="false">
      <c r="A24" s="15" t="n">
        <v>23</v>
      </c>
      <c r="B24" s="15" t="s">
        <v>154</v>
      </c>
      <c r="C24" s="16" t="s">
        <v>131</v>
      </c>
      <c r="D24" s="17" t="s">
        <v>163</v>
      </c>
      <c r="E24" s="16" t="s">
        <v>164</v>
      </c>
      <c r="F24" s="30" t="s">
        <v>29</v>
      </c>
      <c r="G24" s="31" t="s">
        <v>83</v>
      </c>
      <c r="H24" s="18" t="s">
        <v>165</v>
      </c>
      <c r="I24" s="18" t="s">
        <v>65</v>
      </c>
      <c r="J24" s="18" t="s">
        <v>166</v>
      </c>
      <c r="K24" s="20" t="n">
        <v>0.5</v>
      </c>
      <c r="L24" s="21" t="s">
        <v>60</v>
      </c>
      <c r="M24" s="22"/>
    </row>
    <row r="25" customFormat="false" ht="22.35" hidden="false" customHeight="false" outlineLevel="0" collapsed="false">
      <c r="A25" s="23" t="n">
        <v>24</v>
      </c>
      <c r="B25" s="23" t="s">
        <v>154</v>
      </c>
      <c r="C25" s="24" t="s">
        <v>131</v>
      </c>
      <c r="D25" s="28" t="s">
        <v>167</v>
      </c>
      <c r="E25" s="24" t="s">
        <v>168</v>
      </c>
      <c r="F25" s="32" t="s">
        <v>23</v>
      </c>
      <c r="G25" s="32" t="s">
        <v>23</v>
      </c>
      <c r="H25" s="26" t="s">
        <v>169</v>
      </c>
      <c r="I25" s="26" t="s">
        <v>170</v>
      </c>
      <c r="J25" s="26"/>
      <c r="K25" s="27" t="n">
        <v>0.5</v>
      </c>
      <c r="L25" s="21" t="s">
        <v>60</v>
      </c>
      <c r="M25" s="22"/>
    </row>
    <row r="26" customFormat="false" ht="15" hidden="false" customHeight="false" outlineLevel="0" collapsed="false">
      <c r="A26" s="15" t="n">
        <v>25</v>
      </c>
      <c r="B26" s="15" t="s">
        <v>154</v>
      </c>
      <c r="C26" s="16" t="s">
        <v>131</v>
      </c>
      <c r="D26" s="17" t="s">
        <v>171</v>
      </c>
      <c r="E26" s="16" t="s">
        <v>172</v>
      </c>
      <c r="F26" s="32" t="s">
        <v>23</v>
      </c>
      <c r="G26" s="32" t="s">
        <v>23</v>
      </c>
      <c r="H26" s="18" t="s">
        <v>173</v>
      </c>
      <c r="I26" s="18" t="s">
        <v>120</v>
      </c>
      <c r="J26" s="16" t="s">
        <v>174</v>
      </c>
      <c r="K26" s="20" t="n">
        <v>1</v>
      </c>
      <c r="L26" s="21" t="s">
        <v>60</v>
      </c>
      <c r="M26" s="22"/>
    </row>
    <row r="27" customFormat="false" ht="15" hidden="false" customHeight="false" outlineLevel="0" collapsed="false">
      <c r="A27" s="23" t="n">
        <v>26</v>
      </c>
      <c r="B27" s="23" t="s">
        <v>154</v>
      </c>
      <c r="C27" s="24" t="s">
        <v>131</v>
      </c>
      <c r="D27" s="28" t="s">
        <v>175</v>
      </c>
      <c r="E27" s="24" t="s">
        <v>176</v>
      </c>
      <c r="F27" s="32" t="s">
        <v>23</v>
      </c>
      <c r="G27" s="32" t="s">
        <v>23</v>
      </c>
      <c r="H27" s="26" t="s">
        <v>177</v>
      </c>
      <c r="I27" s="26" t="s">
        <v>65</v>
      </c>
      <c r="J27" s="26" t="s">
        <v>178</v>
      </c>
      <c r="K27" s="27" t="n">
        <v>0</v>
      </c>
      <c r="L27" s="21" t="s">
        <v>60</v>
      </c>
      <c r="M27" s="22"/>
    </row>
    <row r="28" customFormat="false" ht="22.35" hidden="false" customHeight="false" outlineLevel="0" collapsed="false">
      <c r="A28" s="15" t="n">
        <v>27</v>
      </c>
      <c r="B28" s="15" t="s">
        <v>179</v>
      </c>
      <c r="C28" s="16" t="s">
        <v>131</v>
      </c>
      <c r="D28" s="17" t="s">
        <v>180</v>
      </c>
      <c r="E28" s="16" t="s">
        <v>181</v>
      </c>
      <c r="F28" s="19" t="s">
        <v>21</v>
      </c>
      <c r="G28" s="19" t="s">
        <v>21</v>
      </c>
      <c r="H28" s="18" t="s">
        <v>182</v>
      </c>
      <c r="I28" s="18" t="s">
        <v>65</v>
      </c>
      <c r="J28" s="16" t="s">
        <v>183</v>
      </c>
      <c r="K28" s="20" t="n">
        <v>0</v>
      </c>
      <c r="L28" s="21" t="s">
        <v>60</v>
      </c>
      <c r="M28" s="22"/>
    </row>
    <row r="29" customFormat="false" ht="15" hidden="false" customHeight="false" outlineLevel="0" collapsed="false">
      <c r="A29" s="23" t="n">
        <v>28</v>
      </c>
      <c r="B29" s="23" t="s">
        <v>179</v>
      </c>
      <c r="C29" s="24" t="s">
        <v>131</v>
      </c>
      <c r="D29" s="28" t="s">
        <v>184</v>
      </c>
      <c r="E29" s="24" t="s">
        <v>185</v>
      </c>
      <c r="F29" s="19" t="s">
        <v>21</v>
      </c>
      <c r="G29" s="19" t="s">
        <v>21</v>
      </c>
      <c r="H29" s="26" t="s">
        <v>186</v>
      </c>
      <c r="I29" s="26" t="s">
        <v>187</v>
      </c>
      <c r="J29" s="24" t="s">
        <v>188</v>
      </c>
      <c r="K29" s="27" t="n">
        <v>0</v>
      </c>
      <c r="L29" s="21" t="s">
        <v>60</v>
      </c>
      <c r="M29" s="22"/>
    </row>
    <row r="30" customFormat="false" ht="22.35" hidden="false" customHeight="false" outlineLevel="0" collapsed="false">
      <c r="A30" s="15" t="n">
        <v>29</v>
      </c>
      <c r="B30" s="15" t="s">
        <v>179</v>
      </c>
      <c r="C30" s="16" t="s">
        <v>131</v>
      </c>
      <c r="D30" s="17" t="s">
        <v>189</v>
      </c>
      <c r="E30" s="16" t="s">
        <v>190</v>
      </c>
      <c r="F30" s="32" t="s">
        <v>23</v>
      </c>
      <c r="G30" s="32" t="s">
        <v>23</v>
      </c>
      <c r="H30" s="18" t="s">
        <v>191</v>
      </c>
      <c r="I30" s="18" t="s">
        <v>192</v>
      </c>
      <c r="J30" s="18"/>
      <c r="K30" s="20" t="n">
        <v>1</v>
      </c>
      <c r="L30" s="21" t="s">
        <v>60</v>
      </c>
      <c r="M30" s="22"/>
    </row>
    <row r="31" customFormat="false" ht="15" hidden="false" customHeight="false" outlineLevel="0" collapsed="false">
      <c r="A31" s="23" t="n">
        <v>30</v>
      </c>
      <c r="B31" s="23" t="s">
        <v>193</v>
      </c>
      <c r="C31" s="24" t="s">
        <v>194</v>
      </c>
      <c r="D31" s="28" t="s">
        <v>195</v>
      </c>
      <c r="E31" s="24" t="s">
        <v>196</v>
      </c>
      <c r="F31" s="32" t="s">
        <v>23</v>
      </c>
      <c r="G31" s="32" t="s">
        <v>23</v>
      </c>
      <c r="H31" s="26" t="s">
        <v>134</v>
      </c>
      <c r="I31" s="26" t="s">
        <v>197</v>
      </c>
      <c r="J31" s="26"/>
      <c r="K31" s="27" t="n">
        <v>1</v>
      </c>
      <c r="L31" s="21" t="s">
        <v>60</v>
      </c>
      <c r="M31" s="22"/>
    </row>
    <row r="32" customFormat="false" ht="22.35" hidden="false" customHeight="false" outlineLevel="0" collapsed="false">
      <c r="A32" s="15" t="n">
        <v>31</v>
      </c>
      <c r="B32" s="15" t="s">
        <v>198</v>
      </c>
      <c r="C32" s="16" t="s">
        <v>194</v>
      </c>
      <c r="D32" s="17" t="s">
        <v>199</v>
      </c>
      <c r="E32" s="16" t="s">
        <v>200</v>
      </c>
      <c r="F32" s="32" t="s">
        <v>23</v>
      </c>
      <c r="G32" s="32" t="s">
        <v>23</v>
      </c>
      <c r="H32" s="18" t="s">
        <v>201</v>
      </c>
      <c r="I32" s="18" t="s">
        <v>202</v>
      </c>
      <c r="J32" s="18" t="s">
        <v>203</v>
      </c>
      <c r="K32" s="20" t="n">
        <v>4</v>
      </c>
      <c r="L32" s="21" t="s">
        <v>60</v>
      </c>
      <c r="M32" s="22"/>
    </row>
    <row r="33" customFormat="false" ht="15" hidden="false" customHeight="false" outlineLevel="0" collapsed="false">
      <c r="A33" s="23" t="n">
        <v>32</v>
      </c>
      <c r="B33" s="23" t="s">
        <v>198</v>
      </c>
      <c r="C33" s="24" t="s">
        <v>194</v>
      </c>
      <c r="D33" s="28" t="s">
        <v>204</v>
      </c>
      <c r="E33" s="24" t="s">
        <v>205</v>
      </c>
      <c r="F33" s="32" t="s">
        <v>23</v>
      </c>
      <c r="G33" s="32" t="s">
        <v>23</v>
      </c>
      <c r="H33" s="26" t="s">
        <v>206</v>
      </c>
      <c r="I33" s="26" t="s">
        <v>207</v>
      </c>
      <c r="J33" s="26" t="s">
        <v>208</v>
      </c>
      <c r="K33" s="27" t="n">
        <v>0</v>
      </c>
      <c r="L33" s="21" t="s">
        <v>60</v>
      </c>
      <c r="M33" s="22"/>
    </row>
    <row r="34" customFormat="false" ht="22.35" hidden="false" customHeight="false" outlineLevel="0" collapsed="false">
      <c r="A34" s="15" t="n">
        <v>33</v>
      </c>
      <c r="B34" s="15" t="s">
        <v>198</v>
      </c>
      <c r="C34" s="16" t="s">
        <v>194</v>
      </c>
      <c r="D34" s="17" t="s">
        <v>209</v>
      </c>
      <c r="E34" s="16" t="s">
        <v>210</v>
      </c>
      <c r="F34" s="29" t="s">
        <v>76</v>
      </c>
      <c r="G34" s="29" t="s">
        <v>76</v>
      </c>
      <c r="H34" s="18" t="s">
        <v>211</v>
      </c>
      <c r="I34" s="18" t="s">
        <v>212</v>
      </c>
      <c r="J34" s="16" t="s">
        <v>213</v>
      </c>
      <c r="K34" s="20" t="n">
        <v>2.5</v>
      </c>
      <c r="L34" s="21" t="s">
        <v>60</v>
      </c>
      <c r="M34" s="22"/>
    </row>
    <row r="35" customFormat="false" ht="15" hidden="false" customHeight="false" outlineLevel="0" collapsed="false">
      <c r="A35" s="23" t="n">
        <v>34</v>
      </c>
      <c r="B35" s="23" t="s">
        <v>198</v>
      </c>
      <c r="C35" s="24" t="s">
        <v>194</v>
      </c>
      <c r="D35" s="28" t="s">
        <v>214</v>
      </c>
      <c r="E35" s="24" t="s">
        <v>215</v>
      </c>
      <c r="F35" s="32" t="s">
        <v>23</v>
      </c>
      <c r="G35" s="32" t="s">
        <v>23</v>
      </c>
      <c r="H35" s="26" t="s">
        <v>216</v>
      </c>
      <c r="I35" s="26" t="s">
        <v>170</v>
      </c>
      <c r="J35" s="26"/>
      <c r="K35" s="27" t="n">
        <v>0</v>
      </c>
      <c r="L35" s="21" t="s">
        <v>60</v>
      </c>
      <c r="M35" s="22"/>
    </row>
    <row r="36" customFormat="false" ht="15" hidden="false" customHeight="false" outlineLevel="0" collapsed="false">
      <c r="A36" s="15" t="n">
        <v>35</v>
      </c>
      <c r="B36" s="15" t="s">
        <v>198</v>
      </c>
      <c r="C36" s="16" t="s">
        <v>194</v>
      </c>
      <c r="D36" s="17" t="s">
        <v>217</v>
      </c>
      <c r="E36" s="16" t="s">
        <v>218</v>
      </c>
      <c r="F36" s="30" t="s">
        <v>29</v>
      </c>
      <c r="G36" s="31" t="s">
        <v>83</v>
      </c>
      <c r="H36" s="18" t="s">
        <v>219</v>
      </c>
      <c r="I36" s="18" t="s">
        <v>220</v>
      </c>
      <c r="J36" s="18" t="s">
        <v>221</v>
      </c>
      <c r="K36" s="20" t="n">
        <v>2</v>
      </c>
      <c r="L36" s="21" t="s">
        <v>60</v>
      </c>
      <c r="M36" s="22"/>
    </row>
    <row r="37" customFormat="false" ht="15" hidden="false" customHeight="false" outlineLevel="0" collapsed="false">
      <c r="A37" s="23" t="n">
        <v>36</v>
      </c>
      <c r="B37" s="23" t="s">
        <v>198</v>
      </c>
      <c r="C37" s="24" t="s">
        <v>194</v>
      </c>
      <c r="D37" s="28" t="s">
        <v>222</v>
      </c>
      <c r="E37" s="24" t="s">
        <v>223</v>
      </c>
      <c r="F37" s="32" t="s">
        <v>23</v>
      </c>
      <c r="G37" s="32" t="s">
        <v>23</v>
      </c>
      <c r="H37" s="26" t="s">
        <v>151</v>
      </c>
      <c r="I37" s="26" t="s">
        <v>224</v>
      </c>
      <c r="J37" s="26"/>
      <c r="K37" s="27" t="n">
        <v>0.5</v>
      </c>
      <c r="L37" s="21" t="s">
        <v>60</v>
      </c>
      <c r="M37" s="22"/>
    </row>
    <row r="38" customFormat="false" ht="15" hidden="false" customHeight="false" outlineLevel="0" collapsed="false">
      <c r="A38" s="15" t="n">
        <v>37</v>
      </c>
      <c r="B38" s="15" t="s">
        <v>198</v>
      </c>
      <c r="C38" s="16" t="s">
        <v>194</v>
      </c>
      <c r="D38" s="17" t="s">
        <v>225</v>
      </c>
      <c r="E38" s="16" t="s">
        <v>226</v>
      </c>
      <c r="F38" s="32" t="s">
        <v>23</v>
      </c>
      <c r="G38" s="32" t="s">
        <v>23</v>
      </c>
      <c r="H38" s="18" t="s">
        <v>227</v>
      </c>
      <c r="I38" s="18" t="s">
        <v>228</v>
      </c>
      <c r="J38" s="18"/>
      <c r="K38" s="20" t="n">
        <v>0</v>
      </c>
      <c r="L38" s="21" t="s">
        <v>60</v>
      </c>
      <c r="M38" s="22"/>
    </row>
    <row r="39" customFormat="false" ht="15" hidden="false" customHeight="false" outlineLevel="0" collapsed="false">
      <c r="A39" s="23" t="n">
        <v>38</v>
      </c>
      <c r="B39" s="23" t="s">
        <v>229</v>
      </c>
      <c r="C39" s="24" t="s">
        <v>194</v>
      </c>
      <c r="D39" s="28" t="s">
        <v>230</v>
      </c>
      <c r="E39" s="24" t="s">
        <v>231</v>
      </c>
      <c r="F39" s="32" t="s">
        <v>23</v>
      </c>
      <c r="G39" s="32" t="s">
        <v>23</v>
      </c>
      <c r="H39" s="26" t="s">
        <v>232</v>
      </c>
      <c r="I39" s="26" t="s">
        <v>233</v>
      </c>
      <c r="J39" s="26"/>
      <c r="K39" s="27" t="n">
        <v>2</v>
      </c>
      <c r="L39" s="21" t="s">
        <v>60</v>
      </c>
      <c r="M39" s="22"/>
    </row>
    <row r="40" customFormat="false" ht="15" hidden="false" customHeight="false" outlineLevel="0" collapsed="false">
      <c r="A40" s="15" t="n">
        <v>39</v>
      </c>
      <c r="B40" s="15" t="s">
        <v>229</v>
      </c>
      <c r="C40" s="16" t="s">
        <v>194</v>
      </c>
      <c r="D40" s="17" t="s">
        <v>234</v>
      </c>
      <c r="E40" s="16" t="s">
        <v>235</v>
      </c>
      <c r="F40" s="30" t="s">
        <v>29</v>
      </c>
      <c r="G40" s="31" t="s">
        <v>83</v>
      </c>
      <c r="H40" s="18" t="s">
        <v>236</v>
      </c>
      <c r="I40" s="18" t="s">
        <v>237</v>
      </c>
      <c r="J40" s="18" t="s">
        <v>238</v>
      </c>
      <c r="K40" s="20" t="n">
        <v>1</v>
      </c>
      <c r="L40" s="21" t="s">
        <v>60</v>
      </c>
      <c r="M40" s="22"/>
    </row>
    <row r="41" customFormat="false" ht="15" hidden="false" customHeight="false" outlineLevel="0" collapsed="false">
      <c r="A41" s="23" t="n">
        <v>40</v>
      </c>
      <c r="B41" s="23" t="s">
        <v>239</v>
      </c>
      <c r="C41" s="24" t="s">
        <v>194</v>
      </c>
      <c r="D41" s="28" t="s">
        <v>240</v>
      </c>
      <c r="E41" s="24" t="s">
        <v>241</v>
      </c>
      <c r="F41" s="32" t="s">
        <v>23</v>
      </c>
      <c r="G41" s="32" t="s">
        <v>23</v>
      </c>
      <c r="H41" s="26" t="s">
        <v>242</v>
      </c>
      <c r="I41" s="26" t="s">
        <v>243</v>
      </c>
      <c r="J41" s="26"/>
      <c r="K41" s="27" t="n">
        <v>1.5</v>
      </c>
      <c r="L41" s="21" t="s">
        <v>60</v>
      </c>
      <c r="M41" s="22"/>
    </row>
    <row r="42" customFormat="false" ht="15" hidden="false" customHeight="false" outlineLevel="0" collapsed="false">
      <c r="A42" s="15" t="n">
        <v>41</v>
      </c>
      <c r="B42" s="15" t="s">
        <v>244</v>
      </c>
      <c r="C42" s="16" t="s">
        <v>194</v>
      </c>
      <c r="D42" s="17" t="s">
        <v>245</v>
      </c>
      <c r="E42" s="16" t="s">
        <v>246</v>
      </c>
      <c r="F42" s="32" t="s">
        <v>23</v>
      </c>
      <c r="G42" s="32" t="s">
        <v>23</v>
      </c>
      <c r="H42" s="18" t="s">
        <v>134</v>
      </c>
      <c r="I42" s="18" t="s">
        <v>247</v>
      </c>
      <c r="J42" s="18"/>
      <c r="K42" s="20" t="n">
        <v>0.5</v>
      </c>
      <c r="L42" s="21" t="s">
        <v>60</v>
      </c>
      <c r="M42" s="22"/>
    </row>
    <row r="43" customFormat="false" ht="22.35" hidden="false" customHeight="false" outlineLevel="0" collapsed="false">
      <c r="A43" s="23" t="n">
        <v>42</v>
      </c>
      <c r="B43" s="23" t="s">
        <v>248</v>
      </c>
      <c r="C43" s="24" t="s">
        <v>249</v>
      </c>
      <c r="D43" s="25" t="s">
        <v>250</v>
      </c>
      <c r="E43" s="24" t="s">
        <v>251</v>
      </c>
      <c r="F43" s="30" t="s">
        <v>29</v>
      </c>
      <c r="G43" s="31" t="s">
        <v>83</v>
      </c>
      <c r="H43" s="26" t="s">
        <v>252</v>
      </c>
      <c r="I43" s="26" t="s">
        <v>120</v>
      </c>
      <c r="J43" s="26" t="s">
        <v>253</v>
      </c>
      <c r="K43" s="27" t="n">
        <v>5</v>
      </c>
      <c r="L43" s="21" t="s">
        <v>60</v>
      </c>
      <c r="M43" s="22"/>
    </row>
    <row r="44" customFormat="false" ht="22.35" hidden="false" customHeight="false" outlineLevel="0" collapsed="false">
      <c r="A44" s="15" t="n">
        <v>43</v>
      </c>
      <c r="B44" s="15" t="s">
        <v>248</v>
      </c>
      <c r="C44" s="16" t="s">
        <v>249</v>
      </c>
      <c r="D44" s="33" t="s">
        <v>254</v>
      </c>
      <c r="E44" s="16" t="s">
        <v>94</v>
      </c>
      <c r="F44" s="30" t="s">
        <v>29</v>
      </c>
      <c r="G44" s="31" t="s">
        <v>83</v>
      </c>
      <c r="H44" s="18" t="s">
        <v>252</v>
      </c>
      <c r="I44" s="18" t="s">
        <v>120</v>
      </c>
      <c r="J44" s="16" t="s">
        <v>255</v>
      </c>
      <c r="K44" s="20" t="n">
        <v>4</v>
      </c>
      <c r="L44" s="21" t="s">
        <v>60</v>
      </c>
      <c r="M44" s="22"/>
    </row>
    <row r="45" customFormat="false" ht="15" hidden="false" customHeight="false" outlineLevel="0" collapsed="false">
      <c r="A45" s="23" t="n">
        <v>44</v>
      </c>
      <c r="B45" s="23" t="s">
        <v>248</v>
      </c>
      <c r="C45" s="24" t="s">
        <v>249</v>
      </c>
      <c r="D45" s="25" t="s">
        <v>256</v>
      </c>
      <c r="E45" s="24" t="s">
        <v>94</v>
      </c>
      <c r="F45" s="30" t="s">
        <v>29</v>
      </c>
      <c r="G45" s="31" t="s">
        <v>83</v>
      </c>
      <c r="H45" s="26" t="s">
        <v>257</v>
      </c>
      <c r="I45" s="26" t="s">
        <v>120</v>
      </c>
      <c r="J45" s="24" t="s">
        <v>258</v>
      </c>
      <c r="K45" s="27" t="n">
        <v>3.5</v>
      </c>
      <c r="L45" s="21" t="s">
        <v>60</v>
      </c>
      <c r="M45" s="22"/>
    </row>
    <row r="46" customFormat="false" ht="15" hidden="false" customHeight="false" outlineLevel="0" collapsed="false">
      <c r="A46" s="15" t="n">
        <v>45</v>
      </c>
      <c r="B46" s="15" t="s">
        <v>248</v>
      </c>
      <c r="C46" s="16" t="s">
        <v>249</v>
      </c>
      <c r="D46" s="33" t="s">
        <v>259</v>
      </c>
      <c r="E46" s="16" t="s">
        <v>94</v>
      </c>
      <c r="F46" s="30" t="s">
        <v>29</v>
      </c>
      <c r="G46" s="31" t="s">
        <v>83</v>
      </c>
      <c r="H46" s="18" t="s">
        <v>257</v>
      </c>
      <c r="I46" s="18" t="s">
        <v>120</v>
      </c>
      <c r="J46" s="16" t="s">
        <v>260</v>
      </c>
      <c r="K46" s="20" t="n">
        <v>3.5</v>
      </c>
      <c r="L46" s="21" t="s">
        <v>60</v>
      </c>
      <c r="M46" s="22"/>
    </row>
    <row r="47" customFormat="false" ht="15" hidden="false" customHeight="false" outlineLevel="0" collapsed="false">
      <c r="A47" s="23" t="n">
        <v>46</v>
      </c>
      <c r="B47" s="23" t="s">
        <v>248</v>
      </c>
      <c r="C47" s="24" t="s">
        <v>249</v>
      </c>
      <c r="D47" s="25" t="s">
        <v>261</v>
      </c>
      <c r="E47" s="24" t="s">
        <v>262</v>
      </c>
      <c r="F47" s="30" t="s">
        <v>29</v>
      </c>
      <c r="G47" s="31" t="s">
        <v>83</v>
      </c>
      <c r="H47" s="26" t="s">
        <v>263</v>
      </c>
      <c r="I47" s="26" t="s">
        <v>264</v>
      </c>
      <c r="J47" s="24" t="s">
        <v>265</v>
      </c>
      <c r="K47" s="27" t="n">
        <v>2.5</v>
      </c>
      <c r="L47" s="21" t="s">
        <v>60</v>
      </c>
      <c r="M47" s="22"/>
    </row>
    <row r="48" customFormat="false" ht="22.35" hidden="false" customHeight="false" outlineLevel="0" collapsed="false">
      <c r="A48" s="15" t="n">
        <v>47</v>
      </c>
      <c r="B48" s="15" t="s">
        <v>248</v>
      </c>
      <c r="C48" s="16" t="s">
        <v>249</v>
      </c>
      <c r="D48" s="17" t="s">
        <v>266</v>
      </c>
      <c r="E48" s="16" t="s">
        <v>267</v>
      </c>
      <c r="F48" s="30" t="s">
        <v>29</v>
      </c>
      <c r="G48" s="31" t="s">
        <v>83</v>
      </c>
      <c r="H48" s="18" t="s">
        <v>268</v>
      </c>
      <c r="I48" s="16" t="s">
        <v>269</v>
      </c>
      <c r="J48" s="18" t="s">
        <v>270</v>
      </c>
      <c r="K48" s="20" t="n">
        <v>6</v>
      </c>
      <c r="L48" s="21" t="s">
        <v>60</v>
      </c>
      <c r="M48" s="22"/>
    </row>
    <row r="49" customFormat="false" ht="15" hidden="false" customHeight="false" outlineLevel="0" collapsed="false">
      <c r="A49" s="23" t="n">
        <v>48</v>
      </c>
      <c r="B49" s="23" t="s">
        <v>271</v>
      </c>
      <c r="C49" s="24" t="s">
        <v>80</v>
      </c>
      <c r="D49" s="28" t="s">
        <v>272</v>
      </c>
      <c r="E49" s="24" t="s">
        <v>273</v>
      </c>
      <c r="F49" s="30" t="s">
        <v>29</v>
      </c>
      <c r="G49" s="30" t="s">
        <v>29</v>
      </c>
      <c r="H49" s="26" t="s">
        <v>65</v>
      </c>
      <c r="I49" s="26" t="s">
        <v>274</v>
      </c>
      <c r="J49" s="24" t="s">
        <v>275</v>
      </c>
      <c r="K49" s="27" t="n">
        <v>1</v>
      </c>
      <c r="L49" s="21" t="s">
        <v>60</v>
      </c>
      <c r="M49" s="22"/>
    </row>
    <row r="50" customFormat="false" ht="22.35" hidden="false" customHeight="false" outlineLevel="0" collapsed="false">
      <c r="A50" s="15" t="n">
        <v>49</v>
      </c>
      <c r="B50" s="15" t="s">
        <v>271</v>
      </c>
      <c r="C50" s="16" t="s">
        <v>80</v>
      </c>
      <c r="D50" s="17" t="s">
        <v>276</v>
      </c>
      <c r="E50" s="16" t="s">
        <v>277</v>
      </c>
      <c r="F50" s="30" t="s">
        <v>29</v>
      </c>
      <c r="G50" s="31" t="s">
        <v>83</v>
      </c>
      <c r="H50" s="18" t="s">
        <v>278</v>
      </c>
      <c r="I50" s="18" t="s">
        <v>279</v>
      </c>
      <c r="J50" s="18" t="s">
        <v>280</v>
      </c>
      <c r="K50" s="20" t="n">
        <v>1.5</v>
      </c>
      <c r="L50" s="21" t="s">
        <v>60</v>
      </c>
      <c r="M50" s="22"/>
    </row>
    <row r="51" customFormat="false" ht="26.85" hidden="false" customHeight="false" outlineLevel="0" collapsed="false">
      <c r="A51" s="23" t="n">
        <v>50</v>
      </c>
      <c r="B51" s="23" t="s">
        <v>271</v>
      </c>
      <c r="C51" s="24" t="s">
        <v>80</v>
      </c>
      <c r="D51" s="28" t="s">
        <v>281</v>
      </c>
      <c r="E51" s="24" t="s">
        <v>282</v>
      </c>
      <c r="F51" s="30" t="s">
        <v>29</v>
      </c>
      <c r="G51" s="31" t="s">
        <v>83</v>
      </c>
      <c r="H51" s="26" t="s">
        <v>283</v>
      </c>
      <c r="I51" s="26" t="s">
        <v>284</v>
      </c>
      <c r="J51" s="26" t="s">
        <v>285</v>
      </c>
      <c r="K51" s="27" t="n">
        <v>2.5</v>
      </c>
      <c r="L51" s="21" t="s">
        <v>60</v>
      </c>
      <c r="M51" s="22"/>
    </row>
    <row r="52" customFormat="false" ht="15" hidden="false" customHeight="false" outlineLevel="0" collapsed="false">
      <c r="A52" s="15" t="n">
        <v>51</v>
      </c>
      <c r="B52" s="15" t="s">
        <v>271</v>
      </c>
      <c r="C52" s="16" t="s">
        <v>80</v>
      </c>
      <c r="D52" s="17" t="s">
        <v>286</v>
      </c>
      <c r="E52" s="16" t="s">
        <v>287</v>
      </c>
      <c r="F52" s="32" t="s">
        <v>23</v>
      </c>
      <c r="G52" s="32" t="s">
        <v>23</v>
      </c>
      <c r="H52" s="18" t="s">
        <v>288</v>
      </c>
      <c r="I52" s="18" t="s">
        <v>289</v>
      </c>
      <c r="J52" s="18"/>
      <c r="K52" s="20" t="n">
        <v>1</v>
      </c>
      <c r="L52" s="21" t="s">
        <v>60</v>
      </c>
      <c r="M52" s="22"/>
    </row>
    <row r="53" customFormat="false" ht="15" hidden="false" customHeight="false" outlineLevel="0" collapsed="false">
      <c r="A53" s="23" t="n">
        <v>52</v>
      </c>
      <c r="B53" s="23" t="s">
        <v>290</v>
      </c>
      <c r="C53" s="24" t="s">
        <v>291</v>
      </c>
      <c r="D53" s="28" t="s">
        <v>292</v>
      </c>
      <c r="E53" s="24" t="s">
        <v>293</v>
      </c>
      <c r="F53" s="32" t="s">
        <v>23</v>
      </c>
      <c r="G53" s="32" t="s">
        <v>23</v>
      </c>
      <c r="H53" s="26" t="s">
        <v>294</v>
      </c>
      <c r="I53" s="26" t="s">
        <v>295</v>
      </c>
      <c r="J53" s="26" t="s">
        <v>296</v>
      </c>
      <c r="K53" s="27" t="n">
        <v>0.5</v>
      </c>
      <c r="L53" s="21" t="s">
        <v>60</v>
      </c>
      <c r="M53" s="22"/>
    </row>
    <row r="54" customFormat="false" ht="26.85" hidden="false" customHeight="false" outlineLevel="0" collapsed="false">
      <c r="A54" s="15" t="n">
        <v>53</v>
      </c>
      <c r="B54" s="15" t="s">
        <v>290</v>
      </c>
      <c r="C54" s="16" t="s">
        <v>291</v>
      </c>
      <c r="D54" s="17" t="s">
        <v>297</v>
      </c>
      <c r="E54" s="18" t="s">
        <v>298</v>
      </c>
      <c r="F54" s="29" t="s">
        <v>76</v>
      </c>
      <c r="G54" s="31" t="s">
        <v>83</v>
      </c>
      <c r="H54" s="18" t="s">
        <v>299</v>
      </c>
      <c r="I54" s="18" t="s">
        <v>300</v>
      </c>
      <c r="J54" s="18" t="s">
        <v>301</v>
      </c>
      <c r="K54" s="20" t="n">
        <v>3</v>
      </c>
      <c r="L54" s="21" t="s">
        <v>60</v>
      </c>
      <c r="M54" s="22"/>
    </row>
    <row r="55" customFormat="false" ht="22.35" hidden="false" customHeight="false" outlineLevel="0" collapsed="false">
      <c r="A55" s="23" t="n">
        <v>54</v>
      </c>
      <c r="B55" s="23" t="s">
        <v>290</v>
      </c>
      <c r="C55" s="24" t="s">
        <v>291</v>
      </c>
      <c r="D55" s="28" t="s">
        <v>302</v>
      </c>
      <c r="E55" s="24" t="s">
        <v>303</v>
      </c>
      <c r="F55" s="30" t="s">
        <v>29</v>
      </c>
      <c r="G55" s="31" t="s">
        <v>83</v>
      </c>
      <c r="H55" s="26" t="s">
        <v>304</v>
      </c>
      <c r="I55" s="26" t="s">
        <v>305</v>
      </c>
      <c r="J55" s="26" t="s">
        <v>238</v>
      </c>
      <c r="K55" s="27" t="n">
        <v>1.5</v>
      </c>
      <c r="L55" s="21" t="s">
        <v>60</v>
      </c>
      <c r="M55" s="22"/>
    </row>
    <row r="56" customFormat="false" ht="15" hidden="false" customHeight="false" outlineLevel="0" collapsed="false">
      <c r="A56" s="15" t="n">
        <v>55</v>
      </c>
      <c r="B56" s="15" t="s">
        <v>290</v>
      </c>
      <c r="C56" s="16" t="s">
        <v>291</v>
      </c>
      <c r="D56" s="17" t="s">
        <v>306</v>
      </c>
      <c r="E56" s="16" t="s">
        <v>307</v>
      </c>
      <c r="F56" s="32" t="s">
        <v>23</v>
      </c>
      <c r="G56" s="32" t="s">
        <v>23</v>
      </c>
      <c r="H56" s="18" t="s">
        <v>308</v>
      </c>
      <c r="I56" s="18" t="s">
        <v>309</v>
      </c>
      <c r="J56" s="18"/>
      <c r="K56" s="20" t="n">
        <v>0</v>
      </c>
      <c r="L56" s="21" t="s">
        <v>60</v>
      </c>
      <c r="M56" s="22"/>
    </row>
    <row r="57" customFormat="false" ht="15" hidden="false" customHeight="false" outlineLevel="0" collapsed="false">
      <c r="A57" s="23" t="n">
        <v>56</v>
      </c>
      <c r="B57" s="23" t="s">
        <v>310</v>
      </c>
      <c r="C57" s="24" t="s">
        <v>291</v>
      </c>
      <c r="D57" s="28" t="s">
        <v>311</v>
      </c>
      <c r="E57" s="24" t="s">
        <v>312</v>
      </c>
      <c r="F57" s="30" t="s">
        <v>29</v>
      </c>
      <c r="G57" s="31" t="s">
        <v>83</v>
      </c>
      <c r="H57" s="26" t="s">
        <v>313</v>
      </c>
      <c r="I57" s="26" t="s">
        <v>314</v>
      </c>
      <c r="J57" s="26" t="s">
        <v>315</v>
      </c>
      <c r="K57" s="27" t="n">
        <v>0.5</v>
      </c>
      <c r="L57" s="21" t="s">
        <v>60</v>
      </c>
      <c r="M57" s="22"/>
    </row>
    <row r="58" customFormat="false" ht="15" hidden="false" customHeight="false" outlineLevel="0" collapsed="false">
      <c r="A58" s="15" t="n">
        <v>57</v>
      </c>
      <c r="B58" s="15" t="s">
        <v>310</v>
      </c>
      <c r="C58" s="16" t="s">
        <v>291</v>
      </c>
      <c r="D58" s="17" t="s">
        <v>316</v>
      </c>
      <c r="E58" s="18" t="s">
        <v>317</v>
      </c>
      <c r="F58" s="30" t="s">
        <v>29</v>
      </c>
      <c r="G58" s="31" t="s">
        <v>83</v>
      </c>
      <c r="H58" s="18" t="s">
        <v>318</v>
      </c>
      <c r="I58" s="16" t="s">
        <v>94</v>
      </c>
      <c r="J58" s="18"/>
      <c r="K58" s="20" t="n">
        <v>0</v>
      </c>
      <c r="L58" s="21" t="s">
        <v>60</v>
      </c>
      <c r="M58" s="22"/>
    </row>
    <row r="59" customFormat="false" ht="15" hidden="false" customHeight="false" outlineLevel="0" collapsed="false">
      <c r="A59" s="23" t="n">
        <v>58</v>
      </c>
      <c r="B59" s="23" t="s">
        <v>310</v>
      </c>
      <c r="C59" s="24" t="s">
        <v>291</v>
      </c>
      <c r="D59" s="28" t="s">
        <v>319</v>
      </c>
      <c r="E59" s="24" t="s">
        <v>320</v>
      </c>
      <c r="F59" s="30" t="s">
        <v>29</v>
      </c>
      <c r="G59" s="31" t="s">
        <v>83</v>
      </c>
      <c r="H59" s="26" t="s">
        <v>321</v>
      </c>
      <c r="I59" s="24" t="s">
        <v>94</v>
      </c>
      <c r="J59" s="26"/>
      <c r="K59" s="27" t="n">
        <v>0</v>
      </c>
      <c r="L59" s="21" t="s">
        <v>60</v>
      </c>
      <c r="M59" s="22"/>
    </row>
    <row r="60" customFormat="false" ht="15" hidden="false" customHeight="false" outlineLevel="0" collapsed="false">
      <c r="A60" s="15" t="n">
        <v>59</v>
      </c>
      <c r="B60" s="15" t="s">
        <v>310</v>
      </c>
      <c r="C60" s="16" t="s">
        <v>291</v>
      </c>
      <c r="D60" s="17" t="s">
        <v>322</v>
      </c>
      <c r="E60" s="16" t="s">
        <v>323</v>
      </c>
      <c r="F60" s="30" t="s">
        <v>29</v>
      </c>
      <c r="G60" s="31" t="s">
        <v>83</v>
      </c>
      <c r="H60" s="18" t="s">
        <v>324</v>
      </c>
      <c r="I60" s="16" t="s">
        <v>94</v>
      </c>
      <c r="J60" s="18"/>
      <c r="K60" s="20" t="n">
        <v>0</v>
      </c>
      <c r="L60" s="21" t="s">
        <v>60</v>
      </c>
      <c r="M60" s="22"/>
    </row>
    <row r="61" customFormat="false" ht="22.35" hidden="false" customHeight="false" outlineLevel="0" collapsed="false">
      <c r="A61" s="23" t="n">
        <v>60</v>
      </c>
      <c r="B61" s="23" t="s">
        <v>325</v>
      </c>
      <c r="C61" s="24" t="s">
        <v>326</v>
      </c>
      <c r="D61" s="25" t="s">
        <v>327</v>
      </c>
      <c r="E61" s="24" t="s">
        <v>328</v>
      </c>
      <c r="F61" s="32" t="s">
        <v>23</v>
      </c>
      <c r="G61" s="32" t="s">
        <v>23</v>
      </c>
      <c r="H61" s="26" t="s">
        <v>329</v>
      </c>
      <c r="I61" s="26" t="s">
        <v>330</v>
      </c>
      <c r="J61" s="26"/>
      <c r="K61" s="27" t="n">
        <v>0</v>
      </c>
      <c r="L61" s="21" t="s">
        <v>60</v>
      </c>
      <c r="M61" s="22"/>
    </row>
    <row r="62" customFormat="false" ht="15" hidden="false" customHeight="false" outlineLevel="0" collapsed="false">
      <c r="A62" s="15" t="n">
        <v>61</v>
      </c>
      <c r="B62" s="15" t="s">
        <v>325</v>
      </c>
      <c r="C62" s="16" t="s">
        <v>326</v>
      </c>
      <c r="D62" s="33" t="s">
        <v>331</v>
      </c>
      <c r="E62" s="16" t="s">
        <v>332</v>
      </c>
      <c r="F62" s="32" t="s">
        <v>23</v>
      </c>
      <c r="G62" s="32" t="s">
        <v>23</v>
      </c>
      <c r="H62" s="18" t="s">
        <v>333</v>
      </c>
      <c r="I62" s="16" t="s">
        <v>94</v>
      </c>
      <c r="J62" s="18"/>
      <c r="K62" s="20" t="n">
        <v>0</v>
      </c>
      <c r="L62" s="21" t="s">
        <v>60</v>
      </c>
      <c r="M62" s="22"/>
    </row>
    <row r="63" customFormat="false" ht="22.35" hidden="false" customHeight="false" outlineLevel="0" collapsed="false">
      <c r="A63" s="23" t="n">
        <v>62</v>
      </c>
      <c r="B63" s="23" t="s">
        <v>325</v>
      </c>
      <c r="C63" s="24" t="s">
        <v>326</v>
      </c>
      <c r="D63" s="25" t="s">
        <v>334</v>
      </c>
      <c r="E63" s="24" t="s">
        <v>335</v>
      </c>
      <c r="F63" s="32" t="s">
        <v>23</v>
      </c>
      <c r="G63" s="32" t="s">
        <v>23</v>
      </c>
      <c r="H63" s="26" t="s">
        <v>336</v>
      </c>
      <c r="I63" s="24" t="s">
        <v>94</v>
      </c>
      <c r="J63" s="26"/>
      <c r="K63" s="27" t="n">
        <v>0</v>
      </c>
      <c r="L63" s="21" t="s">
        <v>60</v>
      </c>
      <c r="M63" s="22"/>
    </row>
    <row r="64" customFormat="false" ht="15" hidden="false" customHeight="false" outlineLevel="0" collapsed="false">
      <c r="A64" s="15" t="n">
        <v>63</v>
      </c>
      <c r="B64" s="15" t="s">
        <v>337</v>
      </c>
      <c r="C64" s="16" t="s">
        <v>326</v>
      </c>
      <c r="D64" s="33" t="s">
        <v>338</v>
      </c>
      <c r="E64" s="16" t="s">
        <v>339</v>
      </c>
      <c r="F64" s="32" t="s">
        <v>23</v>
      </c>
      <c r="G64" s="32" t="s">
        <v>23</v>
      </c>
      <c r="H64" s="18" t="s">
        <v>232</v>
      </c>
      <c r="I64" s="16" t="s">
        <v>94</v>
      </c>
      <c r="J64" s="18"/>
      <c r="K64" s="20" t="n">
        <v>0</v>
      </c>
      <c r="L64" s="21" t="s">
        <v>60</v>
      </c>
      <c r="M64" s="22"/>
    </row>
    <row r="65" customFormat="false" ht="15" hidden="false" customHeight="false" outlineLevel="0" collapsed="false">
      <c r="A65" s="23" t="n">
        <v>64</v>
      </c>
      <c r="B65" s="23" t="s">
        <v>337</v>
      </c>
      <c r="C65" s="24" t="s">
        <v>326</v>
      </c>
      <c r="D65" s="25" t="s">
        <v>340</v>
      </c>
      <c r="E65" s="24" t="s">
        <v>341</v>
      </c>
      <c r="F65" s="32" t="s">
        <v>23</v>
      </c>
      <c r="G65" s="32" t="s">
        <v>23</v>
      </c>
      <c r="H65" s="26" t="s">
        <v>134</v>
      </c>
      <c r="I65" s="24" t="s">
        <v>94</v>
      </c>
      <c r="J65" s="24" t="s">
        <v>342</v>
      </c>
      <c r="K65" s="27" t="n">
        <v>0</v>
      </c>
      <c r="L65" s="21" t="s">
        <v>60</v>
      </c>
      <c r="M65" s="22"/>
    </row>
    <row r="66" customFormat="false" ht="15" hidden="false" customHeight="false" outlineLevel="0" collapsed="false">
      <c r="A66" s="15" t="n">
        <v>65</v>
      </c>
      <c r="B66" s="15" t="s">
        <v>337</v>
      </c>
      <c r="C66" s="16" t="s">
        <v>326</v>
      </c>
      <c r="D66" s="33" t="s">
        <v>343</v>
      </c>
      <c r="E66" s="16" t="s">
        <v>344</v>
      </c>
      <c r="F66" s="32" t="s">
        <v>23</v>
      </c>
      <c r="G66" s="32" t="s">
        <v>23</v>
      </c>
      <c r="H66" s="18" t="s">
        <v>345</v>
      </c>
      <c r="I66" s="16" t="s">
        <v>94</v>
      </c>
      <c r="J66" s="18"/>
      <c r="K66" s="20" t="n">
        <v>0</v>
      </c>
      <c r="L66" s="21" t="s">
        <v>60</v>
      </c>
      <c r="M66" s="22"/>
    </row>
    <row r="67" customFormat="false" ht="15" hidden="false" customHeight="false" outlineLevel="0" collapsed="false">
      <c r="A67" s="23" t="n">
        <v>66</v>
      </c>
      <c r="B67" s="23" t="s">
        <v>337</v>
      </c>
      <c r="C67" s="24" t="s">
        <v>326</v>
      </c>
      <c r="D67" s="25" t="s">
        <v>346</v>
      </c>
      <c r="E67" s="24" t="s">
        <v>347</v>
      </c>
      <c r="F67" s="32" t="s">
        <v>23</v>
      </c>
      <c r="G67" s="32" t="s">
        <v>23</v>
      </c>
      <c r="H67" s="26" t="s">
        <v>348</v>
      </c>
      <c r="I67" s="24" t="s">
        <v>94</v>
      </c>
      <c r="J67" s="24" t="s">
        <v>349</v>
      </c>
      <c r="K67" s="27" t="n">
        <v>1.5</v>
      </c>
      <c r="L67" s="21" t="s">
        <v>60</v>
      </c>
      <c r="M67" s="22"/>
    </row>
    <row r="68" customFormat="false" ht="15" hidden="false" customHeight="false" outlineLevel="0" collapsed="false">
      <c r="A68" s="15" t="n">
        <v>67</v>
      </c>
      <c r="B68" s="15" t="s">
        <v>350</v>
      </c>
      <c r="C68" s="16" t="s">
        <v>326</v>
      </c>
      <c r="D68" s="17" t="s">
        <v>351</v>
      </c>
      <c r="E68" s="16" t="s">
        <v>352</v>
      </c>
      <c r="F68" s="32" t="s">
        <v>23</v>
      </c>
      <c r="G68" s="32" t="s">
        <v>23</v>
      </c>
      <c r="H68" s="18" t="s">
        <v>134</v>
      </c>
      <c r="I68" s="16" t="s">
        <v>94</v>
      </c>
      <c r="J68" s="18"/>
      <c r="K68" s="20" t="n">
        <v>1</v>
      </c>
      <c r="L68" s="21" t="s">
        <v>60</v>
      </c>
      <c r="M68" s="22"/>
    </row>
    <row r="69" customFormat="false" ht="22.35" hidden="false" customHeight="false" outlineLevel="0" collapsed="false">
      <c r="A69" s="23" t="n">
        <v>68</v>
      </c>
      <c r="B69" s="23" t="s">
        <v>350</v>
      </c>
      <c r="C69" s="24" t="s">
        <v>326</v>
      </c>
      <c r="D69" s="28" t="s">
        <v>353</v>
      </c>
      <c r="E69" s="24" t="s">
        <v>354</v>
      </c>
      <c r="F69" s="29" t="s">
        <v>76</v>
      </c>
      <c r="G69" s="31" t="s">
        <v>83</v>
      </c>
      <c r="H69" s="26" t="s">
        <v>355</v>
      </c>
      <c r="I69" s="24" t="s">
        <v>94</v>
      </c>
      <c r="J69" s="26" t="s">
        <v>356</v>
      </c>
      <c r="K69" s="27" t="n">
        <v>0.5</v>
      </c>
      <c r="L69" s="21" t="s">
        <v>60</v>
      </c>
      <c r="M69" s="22"/>
    </row>
    <row r="70" customFormat="false" ht="15" hidden="false" customHeight="false" outlineLevel="0" collapsed="false">
      <c r="A70" s="15" t="n">
        <v>69</v>
      </c>
      <c r="B70" s="15" t="s">
        <v>350</v>
      </c>
      <c r="C70" s="16" t="s">
        <v>326</v>
      </c>
      <c r="D70" s="17" t="s">
        <v>357</v>
      </c>
      <c r="E70" s="16" t="s">
        <v>358</v>
      </c>
      <c r="F70" s="32" t="s">
        <v>23</v>
      </c>
      <c r="G70" s="32" t="s">
        <v>23</v>
      </c>
      <c r="H70" s="18" t="s">
        <v>134</v>
      </c>
      <c r="I70" s="16" t="s">
        <v>94</v>
      </c>
      <c r="J70" s="18"/>
      <c r="K70" s="20" t="n">
        <v>1</v>
      </c>
      <c r="L70" s="21" t="s">
        <v>60</v>
      </c>
      <c r="M70" s="22"/>
    </row>
    <row r="71" customFormat="false" ht="15" hidden="false" customHeight="false" outlineLevel="0" collapsed="false">
      <c r="A71" s="23" t="n">
        <v>70</v>
      </c>
      <c r="B71" s="23" t="s">
        <v>350</v>
      </c>
      <c r="C71" s="24" t="s">
        <v>326</v>
      </c>
      <c r="D71" s="28" t="s">
        <v>359</v>
      </c>
      <c r="E71" s="24" t="s">
        <v>360</v>
      </c>
      <c r="F71" s="32" t="s">
        <v>23</v>
      </c>
      <c r="G71" s="32" t="s">
        <v>23</v>
      </c>
      <c r="H71" s="26" t="s">
        <v>134</v>
      </c>
      <c r="I71" s="24" t="s">
        <v>94</v>
      </c>
      <c r="J71" s="26"/>
      <c r="K71" s="27" t="n">
        <v>1.5</v>
      </c>
      <c r="L71" s="21" t="s">
        <v>60</v>
      </c>
      <c r="M71" s="22"/>
    </row>
    <row r="72" customFormat="false" ht="15" hidden="false" customHeight="false" outlineLevel="0" collapsed="false">
      <c r="A72" s="15" t="n">
        <v>71</v>
      </c>
      <c r="B72" s="15" t="s">
        <v>361</v>
      </c>
      <c r="C72" s="16" t="s">
        <v>326</v>
      </c>
      <c r="D72" s="17" t="s">
        <v>362</v>
      </c>
      <c r="E72" s="16" t="s">
        <v>363</v>
      </c>
      <c r="F72" s="32" t="s">
        <v>23</v>
      </c>
      <c r="G72" s="32" t="s">
        <v>23</v>
      </c>
      <c r="H72" s="18" t="s">
        <v>134</v>
      </c>
      <c r="I72" s="18" t="s">
        <v>120</v>
      </c>
      <c r="J72" s="18"/>
      <c r="K72" s="20" t="n">
        <v>0</v>
      </c>
      <c r="L72" s="21" t="s">
        <v>60</v>
      </c>
      <c r="M72" s="22"/>
    </row>
    <row r="73" customFormat="false" ht="15" hidden="false" customHeight="false" outlineLevel="0" collapsed="false">
      <c r="A73" s="23" t="n">
        <v>72</v>
      </c>
      <c r="B73" s="23" t="s">
        <v>361</v>
      </c>
      <c r="C73" s="24" t="s">
        <v>326</v>
      </c>
      <c r="D73" s="28" t="s">
        <v>364</v>
      </c>
      <c r="E73" s="24" t="s">
        <v>365</v>
      </c>
      <c r="F73" s="29" t="s">
        <v>76</v>
      </c>
      <c r="G73" s="29" t="s">
        <v>76</v>
      </c>
      <c r="H73" s="26" t="s">
        <v>146</v>
      </c>
      <c r="I73" s="26" t="s">
        <v>147</v>
      </c>
      <c r="J73" s="24" t="s">
        <v>366</v>
      </c>
      <c r="K73" s="27" t="n">
        <v>0</v>
      </c>
      <c r="L73" s="21" t="s">
        <v>60</v>
      </c>
      <c r="M73" s="22"/>
    </row>
    <row r="74" customFormat="false" ht="15" hidden="false" customHeight="false" outlineLevel="0" collapsed="false">
      <c r="A74" s="15" t="n">
        <v>73</v>
      </c>
      <c r="B74" s="15" t="s">
        <v>361</v>
      </c>
      <c r="C74" s="16" t="s">
        <v>326</v>
      </c>
      <c r="D74" s="17" t="s">
        <v>367</v>
      </c>
      <c r="E74" s="16" t="s">
        <v>368</v>
      </c>
      <c r="F74" s="32" t="s">
        <v>23</v>
      </c>
      <c r="G74" s="32" t="s">
        <v>23</v>
      </c>
      <c r="H74" s="18" t="s">
        <v>65</v>
      </c>
      <c r="I74" s="16" t="s">
        <v>369</v>
      </c>
      <c r="J74" s="18"/>
      <c r="K74" s="20" t="n">
        <v>0</v>
      </c>
      <c r="L74" s="21" t="s">
        <v>60</v>
      </c>
      <c r="M74" s="22"/>
    </row>
    <row r="75" customFormat="false" ht="15" hidden="false" customHeight="false" outlineLevel="0" collapsed="false">
      <c r="A75" s="23" t="n">
        <v>74</v>
      </c>
      <c r="B75" s="23" t="s">
        <v>370</v>
      </c>
      <c r="C75" s="24" t="s">
        <v>326</v>
      </c>
      <c r="D75" s="28" t="s">
        <v>371</v>
      </c>
      <c r="E75" s="24" t="s">
        <v>372</v>
      </c>
      <c r="F75" s="32" t="s">
        <v>23</v>
      </c>
      <c r="G75" s="32" t="s">
        <v>23</v>
      </c>
      <c r="H75" s="26" t="s">
        <v>134</v>
      </c>
      <c r="I75" s="26" t="s">
        <v>373</v>
      </c>
      <c r="J75" s="26"/>
      <c r="K75" s="27" t="n">
        <v>1.5</v>
      </c>
      <c r="L75" s="21" t="s">
        <v>60</v>
      </c>
      <c r="M75" s="22"/>
    </row>
    <row r="76" customFormat="false" ht="15" hidden="false" customHeight="false" outlineLevel="0" collapsed="false">
      <c r="A76" s="15" t="n">
        <v>75</v>
      </c>
      <c r="B76" s="15" t="s">
        <v>374</v>
      </c>
      <c r="C76" s="16" t="s">
        <v>326</v>
      </c>
      <c r="D76" s="17" t="s">
        <v>375</v>
      </c>
      <c r="E76" s="16" t="s">
        <v>376</v>
      </c>
      <c r="F76" s="32" t="s">
        <v>23</v>
      </c>
      <c r="G76" s="32" t="s">
        <v>23</v>
      </c>
      <c r="H76" s="18" t="s">
        <v>377</v>
      </c>
      <c r="I76" s="18" t="s">
        <v>373</v>
      </c>
      <c r="J76" s="18"/>
      <c r="K76" s="20" t="n">
        <v>0.5</v>
      </c>
      <c r="L76" s="21" t="s">
        <v>60</v>
      </c>
      <c r="M76" s="22"/>
    </row>
    <row r="77" customFormat="false" ht="22.35" hidden="false" customHeight="false" outlineLevel="0" collapsed="false">
      <c r="A77" s="23" t="n">
        <v>76</v>
      </c>
      <c r="B77" s="23" t="s">
        <v>378</v>
      </c>
      <c r="C77" s="24" t="s">
        <v>326</v>
      </c>
      <c r="D77" s="28" t="s">
        <v>379</v>
      </c>
      <c r="E77" s="24" t="s">
        <v>380</v>
      </c>
      <c r="F77" s="32" t="s">
        <v>23</v>
      </c>
      <c r="G77" s="32" t="s">
        <v>23</v>
      </c>
      <c r="H77" s="26" t="s">
        <v>381</v>
      </c>
      <c r="I77" s="26" t="s">
        <v>382</v>
      </c>
      <c r="J77" s="24" t="s">
        <v>383</v>
      </c>
      <c r="K77" s="27" t="n">
        <v>2</v>
      </c>
      <c r="L77" s="21" t="s">
        <v>60</v>
      </c>
      <c r="M77" s="22"/>
    </row>
    <row r="78" customFormat="false" ht="15" hidden="false" customHeight="false" outlineLevel="0" collapsed="false">
      <c r="A78" s="15" t="n">
        <v>77</v>
      </c>
      <c r="B78" s="15" t="s">
        <v>384</v>
      </c>
      <c r="C78" s="16" t="s">
        <v>385</v>
      </c>
      <c r="D78" s="17" t="s">
        <v>386</v>
      </c>
      <c r="E78" s="16" t="s">
        <v>387</v>
      </c>
      <c r="F78" s="32" t="s">
        <v>23</v>
      </c>
      <c r="G78" s="32" t="s">
        <v>23</v>
      </c>
      <c r="H78" s="18" t="s">
        <v>388</v>
      </c>
      <c r="I78" s="18" t="s">
        <v>389</v>
      </c>
      <c r="J78" s="18"/>
      <c r="K78" s="20" t="n">
        <v>2.5</v>
      </c>
      <c r="L78" s="21" t="s">
        <v>60</v>
      </c>
      <c r="M78" s="22"/>
    </row>
    <row r="79" customFormat="false" ht="15" hidden="false" customHeight="false" outlineLevel="0" collapsed="false">
      <c r="A79" s="23" t="n">
        <v>78</v>
      </c>
      <c r="B79" s="23" t="s">
        <v>384</v>
      </c>
      <c r="C79" s="24" t="s">
        <v>385</v>
      </c>
      <c r="D79" s="28" t="s">
        <v>390</v>
      </c>
      <c r="E79" s="24" t="s">
        <v>391</v>
      </c>
      <c r="F79" s="32" t="s">
        <v>23</v>
      </c>
      <c r="G79" s="32" t="s">
        <v>23</v>
      </c>
      <c r="H79" s="26" t="s">
        <v>392</v>
      </c>
      <c r="I79" s="24" t="s">
        <v>94</v>
      </c>
      <c r="J79" s="26"/>
      <c r="K79" s="27" t="n">
        <v>0.5</v>
      </c>
      <c r="L79" s="21" t="s">
        <v>60</v>
      </c>
      <c r="M79" s="22"/>
    </row>
    <row r="80" customFormat="false" ht="22.35" hidden="false" customHeight="false" outlineLevel="0" collapsed="false">
      <c r="A80" s="15" t="n">
        <v>79</v>
      </c>
      <c r="B80" s="15" t="s">
        <v>393</v>
      </c>
      <c r="C80" s="16" t="s">
        <v>385</v>
      </c>
      <c r="D80" s="17" t="s">
        <v>394</v>
      </c>
      <c r="E80" s="16" t="s">
        <v>395</v>
      </c>
      <c r="F80" s="19" t="s">
        <v>21</v>
      </c>
      <c r="G80" s="19" t="s">
        <v>21</v>
      </c>
      <c r="H80" s="18" t="s">
        <v>396</v>
      </c>
      <c r="I80" s="18" t="s">
        <v>397</v>
      </c>
      <c r="J80" s="16" t="s">
        <v>398</v>
      </c>
      <c r="K80" s="20" t="n">
        <v>2</v>
      </c>
      <c r="L80" s="21" t="s">
        <v>60</v>
      </c>
      <c r="M80" s="22"/>
    </row>
    <row r="81" customFormat="false" ht="15" hidden="false" customHeight="false" outlineLevel="0" collapsed="false">
      <c r="A81" s="23" t="n">
        <v>80</v>
      </c>
      <c r="B81" s="23" t="s">
        <v>393</v>
      </c>
      <c r="C81" s="24" t="s">
        <v>385</v>
      </c>
      <c r="D81" s="28" t="s">
        <v>399</v>
      </c>
      <c r="E81" s="24" t="s">
        <v>400</v>
      </c>
      <c r="F81" s="32" t="s">
        <v>23</v>
      </c>
      <c r="G81" s="32" t="s">
        <v>23</v>
      </c>
      <c r="H81" s="26" t="s">
        <v>134</v>
      </c>
      <c r="I81" s="24" t="s">
        <v>94</v>
      </c>
      <c r="J81" s="26"/>
      <c r="K81" s="27" t="n">
        <v>1</v>
      </c>
      <c r="L81" s="21" t="s">
        <v>60</v>
      </c>
      <c r="M81" s="22"/>
    </row>
    <row r="82" customFormat="false" ht="15" hidden="false" customHeight="false" outlineLevel="0" collapsed="false">
      <c r="A82" s="15" t="n">
        <v>81</v>
      </c>
      <c r="B82" s="15" t="s">
        <v>401</v>
      </c>
      <c r="C82" s="16" t="s">
        <v>385</v>
      </c>
      <c r="D82" s="17" t="s">
        <v>402</v>
      </c>
      <c r="E82" s="16" t="s">
        <v>403</v>
      </c>
      <c r="F82" s="32" t="s">
        <v>23</v>
      </c>
      <c r="G82" s="32" t="s">
        <v>23</v>
      </c>
      <c r="H82" s="18" t="s">
        <v>404</v>
      </c>
      <c r="I82" s="18" t="s">
        <v>405</v>
      </c>
      <c r="J82" s="16" t="s">
        <v>406</v>
      </c>
      <c r="K82" s="20" t="n">
        <v>1.5</v>
      </c>
      <c r="L82" s="21" t="s">
        <v>60</v>
      </c>
      <c r="M82" s="22"/>
    </row>
    <row r="83" customFormat="false" ht="15" hidden="false" customHeight="false" outlineLevel="0" collapsed="false">
      <c r="A83" s="23" t="n">
        <v>82</v>
      </c>
      <c r="B83" s="23" t="s">
        <v>407</v>
      </c>
      <c r="C83" s="24" t="s">
        <v>385</v>
      </c>
      <c r="D83" s="25" t="s">
        <v>408</v>
      </c>
      <c r="E83" s="24" t="s">
        <v>409</v>
      </c>
      <c r="F83" s="30" t="s">
        <v>29</v>
      </c>
      <c r="G83" s="30" t="s">
        <v>29</v>
      </c>
      <c r="H83" s="24" t="s">
        <v>410</v>
      </c>
      <c r="I83" s="26" t="s">
        <v>411</v>
      </c>
      <c r="J83" s="24" t="s">
        <v>412</v>
      </c>
      <c r="K83" s="27" t="n">
        <v>8</v>
      </c>
      <c r="L83" s="21" t="s">
        <v>60</v>
      </c>
      <c r="M83" s="22"/>
    </row>
    <row r="84" customFormat="false" ht="26.85" hidden="false" customHeight="false" outlineLevel="0" collapsed="false">
      <c r="A84" s="15" t="n">
        <v>83</v>
      </c>
      <c r="B84" s="15" t="s">
        <v>413</v>
      </c>
      <c r="C84" s="16" t="s">
        <v>385</v>
      </c>
      <c r="D84" s="17" t="s">
        <v>414</v>
      </c>
      <c r="E84" s="16" t="s">
        <v>415</v>
      </c>
      <c r="F84" s="32" t="s">
        <v>23</v>
      </c>
      <c r="G84" s="32" t="s">
        <v>23</v>
      </c>
      <c r="H84" s="18" t="s">
        <v>134</v>
      </c>
      <c r="I84" s="18" t="s">
        <v>416</v>
      </c>
      <c r="J84" s="16" t="s">
        <v>417</v>
      </c>
      <c r="K84" s="20" t="n">
        <v>4</v>
      </c>
      <c r="L84" s="21" t="s">
        <v>60</v>
      </c>
      <c r="M84" s="22"/>
    </row>
    <row r="85" customFormat="false" ht="15" hidden="false" customHeight="false" outlineLevel="0" collapsed="false">
      <c r="A85" s="23" t="n">
        <v>84</v>
      </c>
      <c r="B85" s="23" t="s">
        <v>413</v>
      </c>
      <c r="C85" s="24" t="s">
        <v>385</v>
      </c>
      <c r="D85" s="28" t="s">
        <v>418</v>
      </c>
      <c r="E85" s="24" t="s">
        <v>419</v>
      </c>
      <c r="F85" s="30" t="s">
        <v>29</v>
      </c>
      <c r="G85" s="31" t="s">
        <v>83</v>
      </c>
      <c r="H85" s="26" t="s">
        <v>420</v>
      </c>
      <c r="I85" s="24" t="s">
        <v>94</v>
      </c>
      <c r="J85" s="26" t="s">
        <v>421</v>
      </c>
      <c r="K85" s="27" t="n">
        <v>0.5</v>
      </c>
      <c r="L85" s="21" t="s">
        <v>60</v>
      </c>
      <c r="M85" s="22"/>
    </row>
    <row r="86" customFormat="false" ht="15" hidden="false" customHeight="false" outlineLevel="0" collapsed="false">
      <c r="A86" s="15" t="n">
        <v>85</v>
      </c>
      <c r="B86" s="15" t="s">
        <v>413</v>
      </c>
      <c r="C86" s="16" t="s">
        <v>385</v>
      </c>
      <c r="D86" s="17" t="s">
        <v>422</v>
      </c>
      <c r="E86" s="16" t="s">
        <v>423</v>
      </c>
      <c r="F86" s="32" t="s">
        <v>23</v>
      </c>
      <c r="G86" s="32" t="s">
        <v>23</v>
      </c>
      <c r="H86" s="18" t="s">
        <v>424</v>
      </c>
      <c r="I86" s="16" t="s">
        <v>94</v>
      </c>
      <c r="J86" s="18"/>
      <c r="K86" s="20" t="n">
        <v>0</v>
      </c>
      <c r="L86" s="21" t="s">
        <v>60</v>
      </c>
      <c r="M86" s="22"/>
    </row>
    <row r="87" customFormat="false" ht="15" hidden="false" customHeight="false" outlineLevel="0" collapsed="false">
      <c r="A87" s="23" t="n">
        <v>86</v>
      </c>
      <c r="B87" s="23" t="s">
        <v>413</v>
      </c>
      <c r="C87" s="24" t="s">
        <v>385</v>
      </c>
      <c r="D87" s="28" t="s">
        <v>425</v>
      </c>
      <c r="E87" s="24" t="s">
        <v>426</v>
      </c>
      <c r="F87" s="32" t="s">
        <v>23</v>
      </c>
      <c r="G87" s="32" t="s">
        <v>23</v>
      </c>
      <c r="H87" s="26" t="s">
        <v>427</v>
      </c>
      <c r="I87" s="24" t="s">
        <v>94</v>
      </c>
      <c r="J87" s="26"/>
      <c r="K87" s="27" t="n">
        <v>0</v>
      </c>
      <c r="L87" s="21" t="s">
        <v>60</v>
      </c>
      <c r="M87" s="22"/>
    </row>
    <row r="88" customFormat="false" ht="15" hidden="false" customHeight="false" outlineLevel="0" collapsed="false">
      <c r="A88" s="15" t="n">
        <v>87</v>
      </c>
      <c r="B88" s="15" t="s">
        <v>428</v>
      </c>
      <c r="C88" s="16" t="s">
        <v>385</v>
      </c>
      <c r="D88" s="17" t="s">
        <v>429</v>
      </c>
      <c r="E88" s="16" t="s">
        <v>430</v>
      </c>
      <c r="F88" s="32" t="s">
        <v>23</v>
      </c>
      <c r="G88" s="32" t="s">
        <v>23</v>
      </c>
      <c r="H88" s="18" t="s">
        <v>134</v>
      </c>
      <c r="I88" s="18" t="s">
        <v>431</v>
      </c>
      <c r="J88" s="18"/>
      <c r="K88" s="20" t="n">
        <v>0</v>
      </c>
      <c r="L88" s="21" t="s">
        <v>60</v>
      </c>
      <c r="M88" s="22"/>
    </row>
    <row r="89" customFormat="false" ht="15" hidden="false" customHeight="false" outlineLevel="0" collapsed="false">
      <c r="A89" s="23" t="n">
        <v>88</v>
      </c>
      <c r="B89" s="23" t="s">
        <v>428</v>
      </c>
      <c r="C89" s="24" t="s">
        <v>385</v>
      </c>
      <c r="D89" s="28" t="s">
        <v>432</v>
      </c>
      <c r="E89" s="24" t="s">
        <v>433</v>
      </c>
      <c r="F89" s="32" t="s">
        <v>23</v>
      </c>
      <c r="G89" s="32" t="s">
        <v>23</v>
      </c>
      <c r="H89" s="26" t="s">
        <v>434</v>
      </c>
      <c r="I89" s="24" t="s">
        <v>94</v>
      </c>
      <c r="J89" s="26"/>
      <c r="K89" s="27" t="n">
        <v>0</v>
      </c>
      <c r="L89" s="21" t="s">
        <v>60</v>
      </c>
      <c r="M89" s="22"/>
    </row>
    <row r="90" customFormat="false" ht="15" hidden="false" customHeight="false" outlineLevel="0" collapsed="false">
      <c r="A90" s="15" t="n">
        <v>89</v>
      </c>
      <c r="B90" s="15" t="s">
        <v>428</v>
      </c>
      <c r="C90" s="16" t="s">
        <v>385</v>
      </c>
      <c r="D90" s="17" t="s">
        <v>435</v>
      </c>
      <c r="E90" s="16" t="s">
        <v>436</v>
      </c>
      <c r="F90" s="32" t="s">
        <v>23</v>
      </c>
      <c r="G90" s="32" t="s">
        <v>23</v>
      </c>
      <c r="H90" s="18" t="s">
        <v>134</v>
      </c>
      <c r="I90" s="16" t="s">
        <v>94</v>
      </c>
      <c r="J90" s="18"/>
      <c r="K90" s="20" t="n">
        <v>0</v>
      </c>
      <c r="L90" s="21" t="s">
        <v>60</v>
      </c>
      <c r="M90" s="22"/>
    </row>
    <row r="91" customFormat="false" ht="15" hidden="false" customHeight="false" outlineLevel="0" collapsed="false">
      <c r="A91" s="23" t="n">
        <v>90</v>
      </c>
      <c r="B91" s="23" t="s">
        <v>428</v>
      </c>
      <c r="C91" s="24" t="s">
        <v>385</v>
      </c>
      <c r="D91" s="28" t="s">
        <v>437</v>
      </c>
      <c r="E91" s="24" t="s">
        <v>438</v>
      </c>
      <c r="F91" s="32" t="s">
        <v>23</v>
      </c>
      <c r="G91" s="32" t="s">
        <v>23</v>
      </c>
      <c r="H91" s="26" t="s">
        <v>134</v>
      </c>
      <c r="I91" s="24" t="s">
        <v>94</v>
      </c>
      <c r="J91" s="26"/>
      <c r="K91" s="27" t="n">
        <v>0.5</v>
      </c>
      <c r="L91" s="21" t="s">
        <v>60</v>
      </c>
      <c r="M91" s="22"/>
    </row>
    <row r="92" customFormat="false" ht="26.85" hidden="false" customHeight="false" outlineLevel="0" collapsed="false">
      <c r="A92" s="15" t="n">
        <v>91</v>
      </c>
      <c r="B92" s="15" t="s">
        <v>428</v>
      </c>
      <c r="C92" s="16" t="s">
        <v>385</v>
      </c>
      <c r="D92" s="17" t="s">
        <v>439</v>
      </c>
      <c r="E92" s="16" t="s">
        <v>440</v>
      </c>
      <c r="F92" s="29" t="s">
        <v>76</v>
      </c>
      <c r="G92" s="29" t="s">
        <v>76</v>
      </c>
      <c r="H92" s="18" t="s">
        <v>441</v>
      </c>
      <c r="I92" s="16" t="s">
        <v>94</v>
      </c>
      <c r="J92" s="16" t="s">
        <v>442</v>
      </c>
      <c r="K92" s="20" t="n">
        <v>1.5</v>
      </c>
      <c r="L92" s="21" t="s">
        <v>60</v>
      </c>
      <c r="M92" s="22"/>
    </row>
    <row r="93" customFormat="false" ht="15" hidden="false" customHeight="false" outlineLevel="0" collapsed="false">
      <c r="A93" s="23" t="n">
        <v>92</v>
      </c>
      <c r="B93" s="23" t="s">
        <v>428</v>
      </c>
      <c r="C93" s="24" t="s">
        <v>385</v>
      </c>
      <c r="D93" s="28" t="s">
        <v>443</v>
      </c>
      <c r="E93" s="24" t="s">
        <v>444</v>
      </c>
      <c r="F93" s="29" t="s">
        <v>76</v>
      </c>
      <c r="G93" s="29" t="s">
        <v>76</v>
      </c>
      <c r="H93" s="26" t="s">
        <v>134</v>
      </c>
      <c r="I93" s="24" t="s">
        <v>94</v>
      </c>
      <c r="J93" s="24" t="s">
        <v>445</v>
      </c>
      <c r="K93" s="27" t="n">
        <v>1</v>
      </c>
      <c r="L93" s="21" t="s">
        <v>60</v>
      </c>
      <c r="M93" s="22"/>
    </row>
    <row r="94" customFormat="false" ht="15" hidden="false" customHeight="false" outlineLevel="0" collapsed="false">
      <c r="A94" s="15" t="n">
        <v>93</v>
      </c>
      <c r="B94" s="15" t="s">
        <v>428</v>
      </c>
      <c r="C94" s="16" t="s">
        <v>385</v>
      </c>
      <c r="D94" s="17" t="s">
        <v>446</v>
      </c>
      <c r="E94" s="16" t="s">
        <v>447</v>
      </c>
      <c r="F94" s="29" t="s">
        <v>76</v>
      </c>
      <c r="G94" s="29" t="s">
        <v>76</v>
      </c>
      <c r="H94" s="18" t="s">
        <v>173</v>
      </c>
      <c r="I94" s="16" t="s">
        <v>94</v>
      </c>
      <c r="J94" s="16" t="s">
        <v>448</v>
      </c>
      <c r="K94" s="20" t="n">
        <v>1</v>
      </c>
      <c r="L94" s="21" t="s">
        <v>60</v>
      </c>
      <c r="M94" s="22"/>
    </row>
    <row r="95" customFormat="false" ht="15" hidden="false" customHeight="false" outlineLevel="0" collapsed="false">
      <c r="A95" s="23" t="n">
        <v>94</v>
      </c>
      <c r="B95" s="23" t="s">
        <v>428</v>
      </c>
      <c r="C95" s="24" t="s">
        <v>385</v>
      </c>
      <c r="D95" s="28" t="s">
        <v>449</v>
      </c>
      <c r="E95" s="24" t="s">
        <v>450</v>
      </c>
      <c r="F95" s="30" t="s">
        <v>29</v>
      </c>
      <c r="G95" s="31" t="s">
        <v>83</v>
      </c>
      <c r="H95" s="26" t="s">
        <v>451</v>
      </c>
      <c r="I95" s="24" t="s">
        <v>94</v>
      </c>
      <c r="J95" s="26" t="s">
        <v>452</v>
      </c>
      <c r="K95" s="27" t="n">
        <v>0.5</v>
      </c>
      <c r="L95" s="21" t="s">
        <v>60</v>
      </c>
      <c r="M95" s="22"/>
    </row>
    <row r="96" customFormat="false" ht="15" hidden="false" customHeight="false" outlineLevel="0" collapsed="false">
      <c r="A96" s="15" t="n">
        <v>95</v>
      </c>
      <c r="B96" s="15" t="s">
        <v>428</v>
      </c>
      <c r="C96" s="16" t="s">
        <v>385</v>
      </c>
      <c r="D96" s="17" t="s">
        <v>453</v>
      </c>
      <c r="E96" s="16" t="s">
        <v>454</v>
      </c>
      <c r="F96" s="29" t="s">
        <v>76</v>
      </c>
      <c r="G96" s="29" t="s">
        <v>76</v>
      </c>
      <c r="H96" s="18" t="s">
        <v>65</v>
      </c>
      <c r="I96" s="16" t="s">
        <v>94</v>
      </c>
      <c r="J96" s="16" t="s">
        <v>455</v>
      </c>
      <c r="K96" s="20" t="n">
        <v>1</v>
      </c>
      <c r="L96" s="21" t="s">
        <v>60</v>
      </c>
      <c r="M96" s="22"/>
    </row>
    <row r="97" customFormat="false" ht="15" hidden="false" customHeight="false" outlineLevel="0" collapsed="false">
      <c r="A97" s="23" t="n">
        <v>96</v>
      </c>
      <c r="B97" s="23" t="s">
        <v>428</v>
      </c>
      <c r="C97" s="24" t="s">
        <v>385</v>
      </c>
      <c r="D97" s="28" t="s">
        <v>456</v>
      </c>
      <c r="E97" s="24" t="s">
        <v>457</v>
      </c>
      <c r="F97" s="32" t="s">
        <v>23</v>
      </c>
      <c r="G97" s="32" t="s">
        <v>23</v>
      </c>
      <c r="H97" s="26" t="s">
        <v>65</v>
      </c>
      <c r="I97" s="26" t="s">
        <v>458</v>
      </c>
      <c r="J97" s="24" t="s">
        <v>459</v>
      </c>
      <c r="K97" s="27" t="n">
        <v>2.5</v>
      </c>
      <c r="L97" s="21" t="s">
        <v>60</v>
      </c>
      <c r="M97" s="22"/>
    </row>
    <row r="98" customFormat="false" ht="15" hidden="false" customHeight="false" outlineLevel="0" collapsed="false">
      <c r="A98" s="15" t="n">
        <v>97</v>
      </c>
      <c r="B98" s="15" t="s">
        <v>428</v>
      </c>
      <c r="C98" s="16" t="s">
        <v>385</v>
      </c>
      <c r="D98" s="17" t="s">
        <v>460</v>
      </c>
      <c r="E98" s="16" t="s">
        <v>461</v>
      </c>
      <c r="F98" s="32" t="s">
        <v>23</v>
      </c>
      <c r="G98" s="32" t="s">
        <v>23</v>
      </c>
      <c r="H98" s="18" t="s">
        <v>134</v>
      </c>
      <c r="I98" s="16" t="s">
        <v>94</v>
      </c>
      <c r="J98" s="18"/>
      <c r="K98" s="20" t="n">
        <v>0.5</v>
      </c>
      <c r="L98" s="21" t="s">
        <v>60</v>
      </c>
      <c r="M98" s="22"/>
    </row>
    <row r="99" customFormat="false" ht="24.6" hidden="false" customHeight="false" outlineLevel="0" collapsed="false">
      <c r="A99" s="23" t="n">
        <v>98</v>
      </c>
      <c r="B99" s="23" t="s">
        <v>462</v>
      </c>
      <c r="C99" s="24" t="s">
        <v>463</v>
      </c>
      <c r="D99" s="28" t="s">
        <v>464</v>
      </c>
      <c r="E99" s="24" t="s">
        <v>465</v>
      </c>
      <c r="F99" s="32" t="s">
        <v>23</v>
      </c>
      <c r="G99" s="32" t="s">
        <v>23</v>
      </c>
      <c r="H99" s="26" t="s">
        <v>466</v>
      </c>
      <c r="I99" s="26" t="s">
        <v>467</v>
      </c>
      <c r="J99" s="24" t="s">
        <v>468</v>
      </c>
      <c r="K99" s="27" t="n">
        <v>1</v>
      </c>
      <c r="L99" s="21" t="s">
        <v>60</v>
      </c>
      <c r="M99" s="22"/>
    </row>
    <row r="100" customFormat="false" ht="15" hidden="false" customHeight="false" outlineLevel="0" collapsed="false">
      <c r="A100" s="15" t="n">
        <v>99</v>
      </c>
      <c r="B100" s="15" t="s">
        <v>469</v>
      </c>
      <c r="C100" s="16" t="s">
        <v>463</v>
      </c>
      <c r="D100" s="17" t="s">
        <v>470</v>
      </c>
      <c r="E100" s="16" t="s">
        <v>471</v>
      </c>
      <c r="F100" s="29" t="s">
        <v>76</v>
      </c>
      <c r="G100" s="29" t="s">
        <v>76</v>
      </c>
      <c r="H100" s="18" t="s">
        <v>472</v>
      </c>
      <c r="I100" s="16" t="s">
        <v>269</v>
      </c>
      <c r="J100" s="16" t="s">
        <v>473</v>
      </c>
      <c r="K100" s="20" t="n">
        <v>1</v>
      </c>
      <c r="L100" s="21" t="s">
        <v>60</v>
      </c>
      <c r="M100" s="22"/>
    </row>
    <row r="101" customFormat="false" ht="15" hidden="false" customHeight="false" outlineLevel="0" collapsed="false">
      <c r="A101" s="23" t="n">
        <v>100</v>
      </c>
      <c r="B101" s="23" t="s">
        <v>462</v>
      </c>
      <c r="C101" s="24" t="s">
        <v>463</v>
      </c>
      <c r="D101" s="28" t="s">
        <v>474</v>
      </c>
      <c r="E101" s="24" t="s">
        <v>475</v>
      </c>
      <c r="F101" s="32" t="s">
        <v>23</v>
      </c>
      <c r="G101" s="32" t="s">
        <v>23</v>
      </c>
      <c r="H101" s="26" t="s">
        <v>476</v>
      </c>
      <c r="I101" s="26" t="s">
        <v>477</v>
      </c>
      <c r="J101" s="26"/>
      <c r="K101" s="27" t="n">
        <v>1</v>
      </c>
      <c r="L101" s="21" t="s">
        <v>60</v>
      </c>
      <c r="M101" s="22"/>
    </row>
    <row r="102" customFormat="false" ht="15" hidden="false" customHeight="false" outlineLevel="0" collapsed="false">
      <c r="A102" s="15" t="n">
        <v>101</v>
      </c>
      <c r="B102" s="15" t="s">
        <v>478</v>
      </c>
      <c r="C102" s="16" t="s">
        <v>479</v>
      </c>
      <c r="D102" s="17" t="s">
        <v>480</v>
      </c>
      <c r="E102" s="16" t="s">
        <v>481</v>
      </c>
      <c r="F102" s="30" t="s">
        <v>29</v>
      </c>
      <c r="G102" s="31" t="s">
        <v>83</v>
      </c>
      <c r="H102" s="18" t="s">
        <v>482</v>
      </c>
      <c r="I102" s="18" t="s">
        <v>483</v>
      </c>
      <c r="J102" s="18" t="s">
        <v>484</v>
      </c>
      <c r="K102" s="20" t="n">
        <v>2</v>
      </c>
      <c r="L102" s="21" t="s">
        <v>60</v>
      </c>
      <c r="M102" s="22"/>
    </row>
    <row r="103" customFormat="false" ht="22.35" hidden="false" customHeight="false" outlineLevel="0" collapsed="false">
      <c r="A103" s="23" t="n">
        <v>102</v>
      </c>
      <c r="B103" s="23" t="s">
        <v>485</v>
      </c>
      <c r="C103" s="24" t="s">
        <v>479</v>
      </c>
      <c r="D103" s="28" t="s">
        <v>486</v>
      </c>
      <c r="E103" s="24" t="s">
        <v>487</v>
      </c>
      <c r="F103" s="30" t="s">
        <v>29</v>
      </c>
      <c r="G103" s="31" t="s">
        <v>83</v>
      </c>
      <c r="H103" s="26" t="s">
        <v>488</v>
      </c>
      <c r="I103" s="26" t="s">
        <v>489</v>
      </c>
      <c r="J103" s="26" t="s">
        <v>490</v>
      </c>
      <c r="K103" s="27" t="n">
        <v>3</v>
      </c>
      <c r="L103" s="21" t="s">
        <v>60</v>
      </c>
      <c r="M103" s="22"/>
    </row>
    <row r="104" customFormat="false" ht="22.35" hidden="false" customHeight="false" outlineLevel="0" collapsed="false">
      <c r="A104" s="15" t="n">
        <v>103</v>
      </c>
      <c r="B104" s="15" t="s">
        <v>491</v>
      </c>
      <c r="C104" s="16" t="s">
        <v>492</v>
      </c>
      <c r="D104" s="33" t="s">
        <v>493</v>
      </c>
      <c r="E104" s="16" t="s">
        <v>494</v>
      </c>
      <c r="F104" s="32" t="s">
        <v>23</v>
      </c>
      <c r="G104" s="32" t="s">
        <v>23</v>
      </c>
      <c r="H104" s="18" t="s">
        <v>495</v>
      </c>
      <c r="I104" s="18" t="s">
        <v>496</v>
      </c>
      <c r="J104" s="18"/>
      <c r="K104" s="20" t="n">
        <v>0</v>
      </c>
      <c r="L104" s="21" t="s">
        <v>60</v>
      </c>
      <c r="M104" s="22"/>
    </row>
    <row r="105" customFormat="false" ht="15" hidden="false" customHeight="false" outlineLevel="0" collapsed="false">
      <c r="A105" s="23" t="n">
        <v>104</v>
      </c>
      <c r="B105" s="23" t="s">
        <v>497</v>
      </c>
      <c r="C105" s="24" t="s">
        <v>492</v>
      </c>
      <c r="D105" s="28" t="s">
        <v>498</v>
      </c>
      <c r="E105" s="24" t="s">
        <v>499</v>
      </c>
      <c r="F105" s="32" t="s">
        <v>23</v>
      </c>
      <c r="G105" s="32" t="s">
        <v>23</v>
      </c>
      <c r="H105" s="26" t="s">
        <v>232</v>
      </c>
      <c r="I105" s="26" t="s">
        <v>65</v>
      </c>
      <c r="J105" s="26"/>
      <c r="K105" s="27" t="n">
        <v>0</v>
      </c>
      <c r="L105" s="21" t="s">
        <v>60</v>
      </c>
      <c r="M105" s="22"/>
    </row>
    <row r="106" customFormat="false" ht="26.85" hidden="false" customHeight="false" outlineLevel="0" collapsed="false">
      <c r="A106" s="15" t="n">
        <v>105</v>
      </c>
      <c r="B106" s="15" t="s">
        <v>497</v>
      </c>
      <c r="C106" s="16" t="s">
        <v>492</v>
      </c>
      <c r="D106" s="17" t="s">
        <v>500</v>
      </c>
      <c r="E106" s="18" t="s">
        <v>501</v>
      </c>
      <c r="F106" s="30" t="s">
        <v>29</v>
      </c>
      <c r="G106" s="31" t="s">
        <v>83</v>
      </c>
      <c r="H106" s="18" t="s">
        <v>502</v>
      </c>
      <c r="I106" s="18" t="s">
        <v>120</v>
      </c>
      <c r="J106" s="18" t="s">
        <v>503</v>
      </c>
      <c r="K106" s="20" t="n">
        <v>4</v>
      </c>
      <c r="L106" s="21" t="s">
        <v>60</v>
      </c>
      <c r="M106" s="22"/>
    </row>
    <row r="107" customFormat="false" ht="15" hidden="false" customHeight="false" outlineLevel="0" collapsed="false">
      <c r="A107" s="23" t="n">
        <v>106</v>
      </c>
      <c r="B107" s="23" t="s">
        <v>497</v>
      </c>
      <c r="C107" s="24" t="s">
        <v>492</v>
      </c>
      <c r="D107" s="28" t="s">
        <v>504</v>
      </c>
      <c r="E107" s="24" t="s">
        <v>505</v>
      </c>
      <c r="F107" s="32" t="s">
        <v>23</v>
      </c>
      <c r="G107" s="32" t="s">
        <v>23</v>
      </c>
      <c r="H107" s="26" t="s">
        <v>506</v>
      </c>
      <c r="I107" s="26" t="s">
        <v>65</v>
      </c>
      <c r="J107" s="26"/>
      <c r="K107" s="27" t="n">
        <v>0</v>
      </c>
      <c r="L107" s="21" t="s">
        <v>60</v>
      </c>
      <c r="M107" s="22"/>
    </row>
    <row r="108" customFormat="false" ht="22.35" hidden="false" customHeight="false" outlineLevel="0" collapsed="false">
      <c r="A108" s="15" t="n">
        <v>107</v>
      </c>
      <c r="B108" s="15" t="s">
        <v>507</v>
      </c>
      <c r="C108" s="16" t="s">
        <v>492</v>
      </c>
      <c r="D108" s="17" t="s">
        <v>508</v>
      </c>
      <c r="E108" s="16" t="s">
        <v>509</v>
      </c>
      <c r="F108" s="30" t="s">
        <v>29</v>
      </c>
      <c r="G108" s="31" t="s">
        <v>83</v>
      </c>
      <c r="H108" s="18" t="s">
        <v>510</v>
      </c>
      <c r="I108" s="18" t="s">
        <v>511</v>
      </c>
      <c r="J108" s="18" t="s">
        <v>512</v>
      </c>
      <c r="K108" s="20" t="n">
        <v>0.5</v>
      </c>
      <c r="L108" s="21" t="s">
        <v>60</v>
      </c>
      <c r="M108" s="22"/>
    </row>
    <row r="109" customFormat="false" ht="15" hidden="false" customHeight="false" outlineLevel="0" collapsed="false">
      <c r="A109" s="23" t="n">
        <v>108</v>
      </c>
      <c r="B109" s="23" t="s">
        <v>507</v>
      </c>
      <c r="C109" s="24" t="s">
        <v>492</v>
      </c>
      <c r="D109" s="28" t="s">
        <v>513</v>
      </c>
      <c r="E109" s="24" t="s">
        <v>514</v>
      </c>
      <c r="F109" s="32" t="s">
        <v>23</v>
      </c>
      <c r="G109" s="32" t="s">
        <v>23</v>
      </c>
      <c r="H109" s="26" t="s">
        <v>515</v>
      </c>
      <c r="I109" s="26" t="s">
        <v>516</v>
      </c>
      <c r="J109" s="26"/>
      <c r="K109" s="27" t="n">
        <v>0</v>
      </c>
      <c r="L109" s="21" t="s">
        <v>60</v>
      </c>
      <c r="M109" s="22"/>
    </row>
    <row r="110" customFormat="false" ht="32.8" hidden="false" customHeight="false" outlineLevel="0" collapsed="false">
      <c r="A110" s="15" t="n">
        <v>109</v>
      </c>
      <c r="B110" s="15" t="s">
        <v>507</v>
      </c>
      <c r="C110" s="16" t="s">
        <v>492</v>
      </c>
      <c r="D110" s="17" t="s">
        <v>517</v>
      </c>
      <c r="E110" s="16" t="s">
        <v>518</v>
      </c>
      <c r="F110" s="19" t="s">
        <v>21</v>
      </c>
      <c r="G110" s="19" t="s">
        <v>21</v>
      </c>
      <c r="H110" s="18" t="s">
        <v>519</v>
      </c>
      <c r="I110" s="18" t="s">
        <v>520</v>
      </c>
      <c r="J110" s="16" t="s">
        <v>521</v>
      </c>
      <c r="K110" s="20" t="n">
        <v>0</v>
      </c>
      <c r="L110" s="21" t="s">
        <v>60</v>
      </c>
      <c r="M110" s="22"/>
    </row>
    <row r="111" customFormat="false" ht="22.35" hidden="false" customHeight="false" outlineLevel="0" collapsed="false">
      <c r="A111" s="23" t="n">
        <v>110</v>
      </c>
      <c r="B111" s="23" t="s">
        <v>522</v>
      </c>
      <c r="C111" s="24" t="s">
        <v>492</v>
      </c>
      <c r="D111" s="28" t="s">
        <v>523</v>
      </c>
      <c r="E111" s="24" t="s">
        <v>524</v>
      </c>
      <c r="F111" s="29" t="s">
        <v>76</v>
      </c>
      <c r="G111" s="29" t="s">
        <v>76</v>
      </c>
      <c r="H111" s="26" t="s">
        <v>377</v>
      </c>
      <c r="I111" s="26" t="s">
        <v>525</v>
      </c>
      <c r="J111" s="24" t="s">
        <v>526</v>
      </c>
      <c r="K111" s="27" t="n">
        <v>3</v>
      </c>
      <c r="L111" s="21" t="s">
        <v>60</v>
      </c>
      <c r="M111" s="22"/>
    </row>
    <row r="112" customFormat="false" ht="15" hidden="false" customHeight="false" outlineLevel="0" collapsed="false">
      <c r="A112" s="15" t="n">
        <v>111</v>
      </c>
      <c r="B112" s="15" t="s">
        <v>527</v>
      </c>
      <c r="C112" s="16" t="s">
        <v>528</v>
      </c>
      <c r="D112" s="17" t="s">
        <v>529</v>
      </c>
      <c r="E112" s="16" t="s">
        <v>530</v>
      </c>
      <c r="F112" s="32" t="s">
        <v>23</v>
      </c>
      <c r="G112" s="32" t="s">
        <v>23</v>
      </c>
      <c r="H112" s="18" t="s">
        <v>531</v>
      </c>
      <c r="I112" s="18" t="s">
        <v>65</v>
      </c>
      <c r="J112" s="18"/>
      <c r="K112" s="20" t="n">
        <v>0</v>
      </c>
      <c r="L112" s="21" t="s">
        <v>60</v>
      </c>
      <c r="M112" s="22"/>
    </row>
    <row r="113" customFormat="false" ht="15" hidden="false" customHeight="false" outlineLevel="0" collapsed="false">
      <c r="A113" s="23" t="n">
        <v>112</v>
      </c>
      <c r="B113" s="23" t="s">
        <v>527</v>
      </c>
      <c r="C113" s="24" t="s">
        <v>528</v>
      </c>
      <c r="D113" s="28" t="s">
        <v>532</v>
      </c>
      <c r="E113" s="24" t="s">
        <v>533</v>
      </c>
      <c r="F113" s="19" t="s">
        <v>21</v>
      </c>
      <c r="G113" s="19" t="s">
        <v>21</v>
      </c>
      <c r="H113" s="26" t="s">
        <v>534</v>
      </c>
      <c r="I113" s="26" t="s">
        <v>65</v>
      </c>
      <c r="J113" s="24" t="s">
        <v>535</v>
      </c>
      <c r="K113" s="27" t="n">
        <v>0</v>
      </c>
      <c r="L113" s="21" t="s">
        <v>60</v>
      </c>
      <c r="M113" s="22"/>
    </row>
    <row r="114" customFormat="false" ht="22.35" hidden="false" customHeight="false" outlineLevel="0" collapsed="false">
      <c r="A114" s="15" t="n">
        <v>113</v>
      </c>
      <c r="B114" s="15" t="s">
        <v>527</v>
      </c>
      <c r="C114" s="16" t="s">
        <v>528</v>
      </c>
      <c r="D114" s="17" t="s">
        <v>536</v>
      </c>
      <c r="E114" s="16" t="s">
        <v>537</v>
      </c>
      <c r="F114" s="19" t="s">
        <v>21</v>
      </c>
      <c r="G114" s="19" t="s">
        <v>21</v>
      </c>
      <c r="H114" s="18" t="s">
        <v>538</v>
      </c>
      <c r="I114" s="18" t="s">
        <v>65</v>
      </c>
      <c r="J114" s="16" t="s">
        <v>539</v>
      </c>
      <c r="K114" s="20" t="n">
        <v>0</v>
      </c>
      <c r="L114" s="21" t="s">
        <v>60</v>
      </c>
      <c r="M114" s="22"/>
    </row>
    <row r="115" customFormat="false" ht="22.35" hidden="false" customHeight="false" outlineLevel="0" collapsed="false">
      <c r="A115" s="23" t="n">
        <v>114</v>
      </c>
      <c r="B115" s="23" t="s">
        <v>527</v>
      </c>
      <c r="C115" s="24" t="s">
        <v>528</v>
      </c>
      <c r="D115" s="28" t="s">
        <v>540</v>
      </c>
      <c r="E115" s="24" t="s">
        <v>541</v>
      </c>
      <c r="F115" s="30" t="s">
        <v>29</v>
      </c>
      <c r="G115" s="31" t="s">
        <v>83</v>
      </c>
      <c r="H115" s="26" t="s">
        <v>109</v>
      </c>
      <c r="I115" s="26" t="s">
        <v>110</v>
      </c>
      <c r="J115" s="26" t="s">
        <v>542</v>
      </c>
      <c r="K115" s="27" t="n">
        <v>0</v>
      </c>
      <c r="L115" s="21" t="s">
        <v>60</v>
      </c>
      <c r="M115" s="22"/>
    </row>
    <row r="116" customFormat="false" ht="22.35" hidden="false" customHeight="false" outlineLevel="0" collapsed="false">
      <c r="A116" s="15" t="n">
        <v>115</v>
      </c>
      <c r="B116" s="15" t="s">
        <v>527</v>
      </c>
      <c r="C116" s="16" t="s">
        <v>528</v>
      </c>
      <c r="D116" s="17" t="s">
        <v>543</v>
      </c>
      <c r="E116" s="16" t="s">
        <v>544</v>
      </c>
      <c r="F116" s="29" t="s">
        <v>76</v>
      </c>
      <c r="G116" s="31" t="s">
        <v>83</v>
      </c>
      <c r="H116" s="18" t="s">
        <v>201</v>
      </c>
      <c r="I116" s="18" t="s">
        <v>545</v>
      </c>
      <c r="J116" s="18" t="s">
        <v>546</v>
      </c>
      <c r="K116" s="20" t="n">
        <v>0</v>
      </c>
      <c r="L116" s="21" t="s">
        <v>60</v>
      </c>
      <c r="M116" s="22"/>
    </row>
    <row r="117" customFormat="false" ht="15" hidden="false" customHeight="false" outlineLevel="0" collapsed="false">
      <c r="A117" s="23" t="n">
        <v>116</v>
      </c>
      <c r="B117" s="23" t="s">
        <v>527</v>
      </c>
      <c r="C117" s="24" t="s">
        <v>528</v>
      </c>
      <c r="D117" s="28" t="s">
        <v>547</v>
      </c>
      <c r="E117" s="24" t="s">
        <v>548</v>
      </c>
      <c r="F117" s="30" t="s">
        <v>29</v>
      </c>
      <c r="G117" s="31" t="s">
        <v>83</v>
      </c>
      <c r="H117" s="26" t="s">
        <v>549</v>
      </c>
      <c r="I117" s="26" t="s">
        <v>550</v>
      </c>
      <c r="J117" s="26" t="s">
        <v>551</v>
      </c>
      <c r="K117" s="27" t="n">
        <v>2</v>
      </c>
      <c r="L117" s="21" t="s">
        <v>60</v>
      </c>
      <c r="M117" s="22"/>
    </row>
    <row r="118" customFormat="false" ht="15" hidden="false" customHeight="false" outlineLevel="0" collapsed="false">
      <c r="A118" s="15" t="n">
        <v>117</v>
      </c>
      <c r="B118" s="15" t="s">
        <v>527</v>
      </c>
      <c r="C118" s="16" t="s">
        <v>528</v>
      </c>
      <c r="D118" s="17" t="s">
        <v>552</v>
      </c>
      <c r="E118" s="16" t="s">
        <v>553</v>
      </c>
      <c r="F118" s="30" t="s">
        <v>29</v>
      </c>
      <c r="G118" s="31" t="s">
        <v>83</v>
      </c>
      <c r="H118" s="18" t="s">
        <v>554</v>
      </c>
      <c r="I118" s="18" t="s">
        <v>555</v>
      </c>
      <c r="J118" s="18" t="s">
        <v>556</v>
      </c>
      <c r="K118" s="20" t="n">
        <v>4</v>
      </c>
      <c r="L118" s="21" t="s">
        <v>60</v>
      </c>
      <c r="M118" s="22"/>
    </row>
    <row r="119" customFormat="false" ht="24.6" hidden="false" customHeight="false" outlineLevel="0" collapsed="false">
      <c r="A119" s="23" t="n">
        <v>118</v>
      </c>
      <c r="B119" s="23" t="s">
        <v>527</v>
      </c>
      <c r="C119" s="24" t="s">
        <v>528</v>
      </c>
      <c r="D119" s="28" t="s">
        <v>557</v>
      </c>
      <c r="E119" s="24" t="s">
        <v>558</v>
      </c>
      <c r="F119" s="30" t="s">
        <v>29</v>
      </c>
      <c r="G119" s="31" t="s">
        <v>83</v>
      </c>
      <c r="H119" s="26" t="s">
        <v>559</v>
      </c>
      <c r="I119" s="26" t="s">
        <v>560</v>
      </c>
      <c r="J119" s="26" t="s">
        <v>561</v>
      </c>
      <c r="K119" s="27" t="n">
        <v>1</v>
      </c>
      <c r="L119" s="21" t="s">
        <v>60</v>
      </c>
      <c r="M119" s="22"/>
    </row>
    <row r="120" customFormat="false" ht="26.85" hidden="false" customHeight="false" outlineLevel="0" collapsed="false">
      <c r="A120" s="15" t="n">
        <v>119</v>
      </c>
      <c r="B120" s="15" t="s">
        <v>527</v>
      </c>
      <c r="C120" s="16" t="s">
        <v>528</v>
      </c>
      <c r="D120" s="17" t="s">
        <v>562</v>
      </c>
      <c r="E120" s="16" t="s">
        <v>563</v>
      </c>
      <c r="F120" s="29" t="s">
        <v>76</v>
      </c>
      <c r="G120" s="29" t="s">
        <v>76</v>
      </c>
      <c r="H120" s="18" t="s">
        <v>564</v>
      </c>
      <c r="I120" s="18" t="s">
        <v>65</v>
      </c>
      <c r="J120" s="16" t="s">
        <v>565</v>
      </c>
      <c r="K120" s="20" t="n">
        <v>5</v>
      </c>
      <c r="L120" s="21" t="s">
        <v>60</v>
      </c>
      <c r="M120" s="22"/>
    </row>
    <row r="121" customFormat="false" ht="15" hidden="false" customHeight="false" outlineLevel="0" collapsed="false">
      <c r="A121" s="23" t="n">
        <v>120</v>
      </c>
      <c r="B121" s="23" t="s">
        <v>527</v>
      </c>
      <c r="C121" s="24" t="s">
        <v>528</v>
      </c>
      <c r="D121" s="28" t="s">
        <v>566</v>
      </c>
      <c r="E121" s="24" t="s">
        <v>567</v>
      </c>
      <c r="F121" s="30" t="s">
        <v>29</v>
      </c>
      <c r="G121" s="30" t="s">
        <v>29</v>
      </c>
      <c r="H121" s="24" t="s">
        <v>568</v>
      </c>
      <c r="I121" s="26" t="s">
        <v>65</v>
      </c>
      <c r="J121" s="24" t="s">
        <v>569</v>
      </c>
      <c r="K121" s="27" t="n">
        <v>0</v>
      </c>
      <c r="L121" s="21" t="s">
        <v>60</v>
      </c>
      <c r="M121" s="22"/>
    </row>
    <row r="122" customFormat="false" ht="15" hidden="false" customHeight="false" outlineLevel="0" collapsed="false">
      <c r="A122" s="15" t="n">
        <v>121</v>
      </c>
      <c r="B122" s="15" t="s">
        <v>527</v>
      </c>
      <c r="C122" s="16" t="s">
        <v>528</v>
      </c>
      <c r="D122" s="17" t="s">
        <v>570</v>
      </c>
      <c r="E122" s="16" t="s">
        <v>571</v>
      </c>
      <c r="F122" s="34" t="s">
        <v>31</v>
      </c>
      <c r="G122" s="34" t="s">
        <v>31</v>
      </c>
      <c r="H122" s="18" t="s">
        <v>65</v>
      </c>
      <c r="I122" s="18" t="s">
        <v>65</v>
      </c>
      <c r="J122" s="16" t="s">
        <v>572</v>
      </c>
      <c r="K122" s="20" t="n">
        <v>0</v>
      </c>
      <c r="L122" s="21" t="s">
        <v>60</v>
      </c>
      <c r="M122" s="22"/>
    </row>
    <row r="123" customFormat="false" ht="15" hidden="false" customHeight="false" outlineLevel="0" collapsed="false">
      <c r="A123" s="23" t="n">
        <v>122</v>
      </c>
      <c r="B123" s="23" t="s">
        <v>527</v>
      </c>
      <c r="C123" s="24" t="s">
        <v>528</v>
      </c>
      <c r="D123" s="28" t="s">
        <v>573</v>
      </c>
      <c r="E123" s="24" t="s">
        <v>574</v>
      </c>
      <c r="F123" s="34" t="s">
        <v>31</v>
      </c>
      <c r="G123" s="34" t="s">
        <v>31</v>
      </c>
      <c r="H123" s="26" t="s">
        <v>65</v>
      </c>
      <c r="I123" s="26" t="s">
        <v>65</v>
      </c>
      <c r="J123" s="24" t="s">
        <v>575</v>
      </c>
      <c r="K123" s="27" t="n">
        <v>0</v>
      </c>
      <c r="L123" s="21" t="s">
        <v>60</v>
      </c>
      <c r="M123" s="22"/>
    </row>
    <row r="124" customFormat="false" ht="15" hidden="false" customHeight="false" outlineLevel="0" collapsed="false">
      <c r="A124" s="15" t="n">
        <v>123</v>
      </c>
      <c r="B124" s="15" t="s">
        <v>527</v>
      </c>
      <c r="C124" s="16" t="s">
        <v>528</v>
      </c>
      <c r="D124" s="17" t="s">
        <v>576</v>
      </c>
      <c r="E124" s="16" t="s">
        <v>577</v>
      </c>
      <c r="F124" s="34" t="s">
        <v>31</v>
      </c>
      <c r="G124" s="34" t="s">
        <v>31</v>
      </c>
      <c r="H124" s="18" t="s">
        <v>578</v>
      </c>
      <c r="I124" s="18" t="s">
        <v>65</v>
      </c>
      <c r="J124" s="16" t="s">
        <v>579</v>
      </c>
      <c r="K124" s="20" t="n">
        <v>0</v>
      </c>
      <c r="L124" s="21" t="s">
        <v>60</v>
      </c>
      <c r="M124" s="22"/>
    </row>
    <row r="125" customFormat="false" ht="15" hidden="false" customHeight="false" outlineLevel="0" collapsed="false">
      <c r="A125" s="23" t="n">
        <v>124</v>
      </c>
      <c r="B125" s="23" t="s">
        <v>527</v>
      </c>
      <c r="C125" s="24" t="s">
        <v>528</v>
      </c>
      <c r="D125" s="28" t="s">
        <v>580</v>
      </c>
      <c r="E125" s="24" t="s">
        <v>581</v>
      </c>
      <c r="F125" s="34" t="s">
        <v>31</v>
      </c>
      <c r="G125" s="34" t="s">
        <v>31</v>
      </c>
      <c r="H125" s="26" t="s">
        <v>65</v>
      </c>
      <c r="I125" s="26" t="s">
        <v>65</v>
      </c>
      <c r="J125" s="24" t="s">
        <v>582</v>
      </c>
      <c r="K125" s="27" t="n">
        <v>0</v>
      </c>
      <c r="L125" s="21" t="s">
        <v>60</v>
      </c>
      <c r="M125" s="22"/>
    </row>
    <row r="126" customFormat="false" ht="15" hidden="false" customHeight="false" outlineLevel="0" collapsed="false">
      <c r="A126" s="15" t="n">
        <v>125</v>
      </c>
      <c r="B126" s="15" t="s">
        <v>583</v>
      </c>
      <c r="C126" s="18" t="s">
        <v>584</v>
      </c>
      <c r="D126" s="17" t="s">
        <v>585</v>
      </c>
      <c r="E126" s="16" t="s">
        <v>586</v>
      </c>
      <c r="F126" s="30" t="s">
        <v>29</v>
      </c>
      <c r="G126" s="31" t="s">
        <v>83</v>
      </c>
      <c r="H126" s="18" t="s">
        <v>587</v>
      </c>
      <c r="I126" s="18" t="s">
        <v>588</v>
      </c>
      <c r="J126" s="18" t="s">
        <v>589</v>
      </c>
      <c r="K126" s="20" t="n">
        <v>3</v>
      </c>
      <c r="L126" s="21" t="s">
        <v>60</v>
      </c>
      <c r="M126" s="22"/>
    </row>
    <row r="127" customFormat="false" ht="24.6" hidden="false" customHeight="false" outlineLevel="0" collapsed="false">
      <c r="A127" s="23" t="n">
        <v>126</v>
      </c>
      <c r="B127" s="23" t="s">
        <v>583</v>
      </c>
      <c r="C127" s="26" t="s">
        <v>584</v>
      </c>
      <c r="D127" s="28" t="s">
        <v>590</v>
      </c>
      <c r="E127" s="24" t="s">
        <v>591</v>
      </c>
      <c r="F127" s="30" t="s">
        <v>29</v>
      </c>
      <c r="G127" s="31" t="s">
        <v>83</v>
      </c>
      <c r="H127" s="26" t="s">
        <v>592</v>
      </c>
      <c r="I127" s="26" t="s">
        <v>593</v>
      </c>
      <c r="J127" s="26" t="s">
        <v>594</v>
      </c>
      <c r="K127" s="27" t="n">
        <v>4</v>
      </c>
      <c r="L127" s="21" t="s">
        <v>60</v>
      </c>
      <c r="M127" s="22"/>
    </row>
    <row r="128" customFormat="false" ht="22.35" hidden="false" customHeight="false" outlineLevel="0" collapsed="false">
      <c r="A128" s="15" t="n">
        <v>127</v>
      </c>
      <c r="B128" s="15" t="s">
        <v>583</v>
      </c>
      <c r="C128" s="18" t="s">
        <v>584</v>
      </c>
      <c r="D128" s="17" t="s">
        <v>595</v>
      </c>
      <c r="E128" s="16" t="s">
        <v>596</v>
      </c>
      <c r="F128" s="30" t="s">
        <v>29</v>
      </c>
      <c r="G128" s="31" t="s">
        <v>83</v>
      </c>
      <c r="H128" s="18" t="s">
        <v>597</v>
      </c>
      <c r="I128" s="18" t="s">
        <v>555</v>
      </c>
      <c r="J128" s="18" t="s">
        <v>598</v>
      </c>
      <c r="K128" s="20" t="n">
        <v>3</v>
      </c>
      <c r="L128" s="21" t="s">
        <v>60</v>
      </c>
      <c r="M128" s="22"/>
    </row>
    <row r="129" customFormat="false" ht="32.8" hidden="false" customHeight="false" outlineLevel="0" collapsed="false">
      <c r="A129" s="23" t="n">
        <v>128</v>
      </c>
      <c r="B129" s="23" t="s">
        <v>583</v>
      </c>
      <c r="C129" s="26" t="s">
        <v>584</v>
      </c>
      <c r="D129" s="28" t="s">
        <v>599</v>
      </c>
      <c r="E129" s="24" t="s">
        <v>600</v>
      </c>
      <c r="F129" s="19" t="s">
        <v>21</v>
      </c>
      <c r="G129" s="19" t="s">
        <v>21</v>
      </c>
      <c r="H129" s="26" t="s">
        <v>601</v>
      </c>
      <c r="I129" s="26" t="s">
        <v>602</v>
      </c>
      <c r="J129" s="24" t="s">
        <v>603</v>
      </c>
      <c r="K129" s="27" t="n">
        <v>0</v>
      </c>
      <c r="L129" s="21" t="s">
        <v>60</v>
      </c>
      <c r="M129" s="22"/>
    </row>
    <row r="130" customFormat="false" ht="24.6" hidden="false" customHeight="false" outlineLevel="0" collapsed="false">
      <c r="A130" s="15" t="n">
        <v>129</v>
      </c>
      <c r="B130" s="15" t="s">
        <v>583</v>
      </c>
      <c r="C130" s="18" t="s">
        <v>584</v>
      </c>
      <c r="D130" s="17" t="s">
        <v>604</v>
      </c>
      <c r="E130" s="18" t="s">
        <v>605</v>
      </c>
      <c r="F130" s="32" t="s">
        <v>23</v>
      </c>
      <c r="G130" s="32" t="s">
        <v>23</v>
      </c>
      <c r="H130" s="18" t="s">
        <v>606</v>
      </c>
      <c r="I130" s="18" t="s">
        <v>607</v>
      </c>
      <c r="J130" s="18"/>
      <c r="K130" s="20" t="n">
        <v>1</v>
      </c>
      <c r="L130" s="21" t="s">
        <v>60</v>
      </c>
      <c r="M130" s="22"/>
    </row>
    <row r="131" customFormat="false" ht="15" hidden="false" customHeight="false" outlineLevel="0" collapsed="false">
      <c r="A131" s="23" t="n">
        <v>130</v>
      </c>
      <c r="B131" s="23" t="s">
        <v>583</v>
      </c>
      <c r="C131" s="26" t="s">
        <v>584</v>
      </c>
      <c r="D131" s="28" t="s">
        <v>608</v>
      </c>
      <c r="E131" s="24" t="s">
        <v>609</v>
      </c>
      <c r="F131" s="32" t="s">
        <v>23</v>
      </c>
      <c r="G131" s="32" t="s">
        <v>23</v>
      </c>
      <c r="H131" s="26" t="s">
        <v>610</v>
      </c>
      <c r="I131" s="26" t="s">
        <v>611</v>
      </c>
      <c r="J131" s="26"/>
      <c r="K131" s="27" t="n">
        <v>0</v>
      </c>
      <c r="L131" s="21" t="s">
        <v>60</v>
      </c>
      <c r="M131" s="22"/>
    </row>
    <row r="132" customFormat="false" ht="15" hidden="false" customHeight="false" outlineLevel="0" collapsed="false">
      <c r="A132" s="15" t="n">
        <v>131</v>
      </c>
      <c r="B132" s="15" t="s">
        <v>612</v>
      </c>
      <c r="C132" s="18" t="s">
        <v>613</v>
      </c>
      <c r="D132" s="33" t="s">
        <v>614</v>
      </c>
      <c r="E132" s="16" t="s">
        <v>615</v>
      </c>
      <c r="F132" s="30" t="s">
        <v>29</v>
      </c>
      <c r="G132" s="30" t="s">
        <v>29</v>
      </c>
      <c r="H132" s="16" t="s">
        <v>410</v>
      </c>
      <c r="I132" s="18" t="s">
        <v>411</v>
      </c>
      <c r="J132" s="16" t="s">
        <v>616</v>
      </c>
      <c r="K132" s="20" t="n">
        <v>0</v>
      </c>
      <c r="L132" s="21" t="s">
        <v>60</v>
      </c>
      <c r="M132" s="22"/>
    </row>
    <row r="133" customFormat="false" ht="15" hidden="false" customHeight="false" outlineLevel="0" collapsed="false">
      <c r="A133" s="23" t="n">
        <v>132</v>
      </c>
      <c r="B133" s="23" t="s">
        <v>612</v>
      </c>
      <c r="C133" s="26" t="s">
        <v>613</v>
      </c>
      <c r="D133" s="25" t="s">
        <v>617</v>
      </c>
      <c r="E133" s="24" t="s">
        <v>618</v>
      </c>
      <c r="F133" s="30" t="s">
        <v>29</v>
      </c>
      <c r="G133" s="30" t="s">
        <v>29</v>
      </c>
      <c r="H133" s="26" t="s">
        <v>65</v>
      </c>
      <c r="I133" s="26" t="s">
        <v>65</v>
      </c>
      <c r="J133" s="24" t="s">
        <v>619</v>
      </c>
      <c r="K133" s="27" t="n">
        <v>4</v>
      </c>
      <c r="L133" s="21" t="s">
        <v>60</v>
      </c>
      <c r="M133" s="22"/>
    </row>
    <row r="134" customFormat="false" ht="15" hidden="false" customHeight="false" outlineLevel="0" collapsed="false">
      <c r="A134" s="15" t="n">
        <v>133</v>
      </c>
      <c r="B134" s="15" t="s">
        <v>612</v>
      </c>
      <c r="C134" s="18" t="s">
        <v>613</v>
      </c>
      <c r="D134" s="17" t="s">
        <v>620</v>
      </c>
      <c r="E134" s="16" t="s">
        <v>621</v>
      </c>
      <c r="F134" s="34" t="s">
        <v>31</v>
      </c>
      <c r="G134" s="34" t="s">
        <v>31</v>
      </c>
      <c r="H134" s="18" t="s">
        <v>65</v>
      </c>
      <c r="I134" s="18" t="s">
        <v>65</v>
      </c>
      <c r="J134" s="16" t="s">
        <v>622</v>
      </c>
      <c r="K134" s="20" t="n">
        <v>0</v>
      </c>
      <c r="L134" s="21" t="s">
        <v>60</v>
      </c>
      <c r="M134" s="22"/>
    </row>
    <row r="135" customFormat="false" ht="15" hidden="false" customHeight="false" outlineLevel="0" collapsed="false">
      <c r="A135" s="23" t="n">
        <v>134</v>
      </c>
      <c r="B135" s="23" t="s">
        <v>612</v>
      </c>
      <c r="C135" s="26" t="s">
        <v>613</v>
      </c>
      <c r="D135" s="28" t="s">
        <v>623</v>
      </c>
      <c r="E135" s="24" t="s">
        <v>624</v>
      </c>
      <c r="F135" s="29" t="s">
        <v>76</v>
      </c>
      <c r="G135" s="29" t="s">
        <v>76</v>
      </c>
      <c r="H135" s="26" t="s">
        <v>625</v>
      </c>
      <c r="I135" s="24" t="s">
        <v>269</v>
      </c>
      <c r="J135" s="24" t="s">
        <v>626</v>
      </c>
      <c r="K135" s="27" t="n">
        <v>3</v>
      </c>
      <c r="L135" s="21" t="s">
        <v>60</v>
      </c>
      <c r="M135" s="22"/>
    </row>
    <row r="136" customFormat="false" ht="22.35" hidden="false" customHeight="false" outlineLevel="0" collapsed="false">
      <c r="A136" s="15" t="n">
        <v>135</v>
      </c>
      <c r="B136" s="15" t="s">
        <v>627</v>
      </c>
      <c r="C136" s="16" t="s">
        <v>628</v>
      </c>
      <c r="D136" s="17" t="s">
        <v>629</v>
      </c>
      <c r="E136" s="18" t="s">
        <v>630</v>
      </c>
      <c r="F136" s="32" t="s">
        <v>23</v>
      </c>
      <c r="G136" s="32" t="s">
        <v>23</v>
      </c>
      <c r="H136" s="18" t="s">
        <v>631</v>
      </c>
      <c r="I136" s="18" t="s">
        <v>65</v>
      </c>
      <c r="J136" s="16" t="s">
        <v>632</v>
      </c>
      <c r="K136" s="20" t="n">
        <v>0</v>
      </c>
      <c r="L136" s="21" t="s">
        <v>60</v>
      </c>
      <c r="M136" s="22"/>
    </row>
    <row r="137" customFormat="false" ht="37.3" hidden="false" customHeight="false" outlineLevel="0" collapsed="false">
      <c r="A137" s="23" t="n">
        <v>136</v>
      </c>
      <c r="B137" s="23" t="s">
        <v>633</v>
      </c>
      <c r="C137" s="24" t="s">
        <v>628</v>
      </c>
      <c r="D137" s="28" t="s">
        <v>634</v>
      </c>
      <c r="E137" s="26" t="s">
        <v>635</v>
      </c>
      <c r="F137" s="30" t="s">
        <v>29</v>
      </c>
      <c r="G137" s="31" t="s">
        <v>83</v>
      </c>
      <c r="H137" s="26" t="s">
        <v>636</v>
      </c>
      <c r="I137" s="26" t="s">
        <v>65</v>
      </c>
      <c r="J137" s="26" t="s">
        <v>637</v>
      </c>
      <c r="K137" s="27" t="n">
        <v>0</v>
      </c>
      <c r="L137" s="21" t="s">
        <v>60</v>
      </c>
      <c r="M137" s="22"/>
    </row>
    <row r="138" customFormat="false" ht="32.8" hidden="false" customHeight="false" outlineLevel="0" collapsed="false">
      <c r="A138" s="15" t="n">
        <v>137</v>
      </c>
      <c r="B138" s="15" t="s">
        <v>633</v>
      </c>
      <c r="C138" s="16" t="s">
        <v>628</v>
      </c>
      <c r="D138" s="17" t="s">
        <v>638</v>
      </c>
      <c r="E138" s="16" t="s">
        <v>639</v>
      </c>
      <c r="F138" s="30" t="s">
        <v>29</v>
      </c>
      <c r="G138" s="31" t="s">
        <v>83</v>
      </c>
      <c r="H138" s="18" t="s">
        <v>640</v>
      </c>
      <c r="I138" s="18" t="s">
        <v>65</v>
      </c>
      <c r="J138" s="18" t="s">
        <v>641</v>
      </c>
      <c r="K138" s="20" t="n">
        <v>0</v>
      </c>
      <c r="L138" s="21" t="s">
        <v>60</v>
      </c>
      <c r="M138" s="22"/>
    </row>
    <row r="139" customFormat="false" ht="22.35" hidden="false" customHeight="false" outlineLevel="0" collapsed="false">
      <c r="A139" s="23" t="n">
        <v>138</v>
      </c>
      <c r="B139" s="23" t="s">
        <v>633</v>
      </c>
      <c r="C139" s="24" t="s">
        <v>628</v>
      </c>
      <c r="D139" s="28" t="s">
        <v>642</v>
      </c>
      <c r="E139" s="26" t="s">
        <v>643</v>
      </c>
      <c r="F139" s="30" t="s">
        <v>29</v>
      </c>
      <c r="G139" s="31" t="s">
        <v>83</v>
      </c>
      <c r="H139" s="26" t="s">
        <v>644</v>
      </c>
      <c r="I139" s="26" t="s">
        <v>65</v>
      </c>
      <c r="J139" s="26" t="s">
        <v>645</v>
      </c>
      <c r="K139" s="27" t="n">
        <v>0</v>
      </c>
      <c r="L139" s="21" t="s">
        <v>60</v>
      </c>
      <c r="M139" s="22"/>
    </row>
    <row r="140" customFormat="false" ht="22.35" hidden="false" customHeight="false" outlineLevel="0" collapsed="false">
      <c r="A140" s="15" t="n">
        <v>139</v>
      </c>
      <c r="B140" s="15" t="s">
        <v>633</v>
      </c>
      <c r="C140" s="16" t="s">
        <v>628</v>
      </c>
      <c r="D140" s="17" t="s">
        <v>646</v>
      </c>
      <c r="E140" s="18" t="s">
        <v>647</v>
      </c>
      <c r="F140" s="32" t="s">
        <v>23</v>
      </c>
      <c r="G140" s="32" t="s">
        <v>23</v>
      </c>
      <c r="H140" s="18" t="s">
        <v>476</v>
      </c>
      <c r="I140" s="18" t="s">
        <v>65</v>
      </c>
      <c r="J140" s="18"/>
      <c r="K140" s="20" t="n">
        <v>0</v>
      </c>
      <c r="L140" s="21" t="s">
        <v>60</v>
      </c>
      <c r="M140" s="22"/>
    </row>
    <row r="141" customFormat="false" ht="15" hidden="false" customHeight="false" outlineLevel="0" collapsed="false">
      <c r="J141" s="35" t="s">
        <v>648</v>
      </c>
      <c r="K141" s="36" t="n">
        <f aca="false">SUM(K2:K140)</f>
        <v>160</v>
      </c>
    </row>
  </sheetData>
  <autoFilter ref="A1:M140"/>
  <dataValidations count="2">
    <dataValidation allowBlank="true" errorStyle="stop" operator="between" showDropDown="false" showErrorMessage="false" showInputMessage="false" sqref="F2:G140" type="list">
      <formula1>"超越,完全支援,需補 API,011 已補強,缺口,範圍外"</formula1>
      <formula2>0</formula2>
    </dataValidation>
    <dataValidation allowBlank="true" errorStyle="stop" operator="between" showDropDown="false" showErrorMessage="false" showInputMessage="false" sqref="L2:L140" type="list">
      <formula1>"待決,納入第一階段,納入第二階段,納入第三階段,劃出範圍,不做"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1"/>
  </cols>
  <sheetData>
    <row r="1" customFormat="false" ht="17.35" hidden="false" customHeight="false" outlineLevel="0" collapsed="false">
      <c r="A1" s="37" t="s">
        <v>649</v>
      </c>
    </row>
    <row r="3" customFormat="false" ht="15" hidden="false" customHeight="false" outlineLevel="0" collapsed="false">
      <c r="A3" s="38" t="s">
        <v>650</v>
      </c>
    </row>
    <row r="5" customFormat="false" ht="29.85" hidden="false" customHeight="false" outlineLevel="0" collapsed="false">
      <c r="A5" s="13" t="s">
        <v>651</v>
      </c>
      <c r="B5" s="13" t="s">
        <v>652</v>
      </c>
      <c r="C5" s="13" t="s">
        <v>653</v>
      </c>
      <c r="D5" s="13" t="s">
        <v>654</v>
      </c>
      <c r="E5" s="13" t="s">
        <v>655</v>
      </c>
      <c r="F5" s="13" t="s">
        <v>656</v>
      </c>
      <c r="G5" s="13" t="s">
        <v>657</v>
      </c>
      <c r="H5" s="13" t="s">
        <v>31</v>
      </c>
    </row>
    <row r="6" customFormat="false" ht="15" hidden="false" customHeight="false" outlineLevel="0" collapsed="false">
      <c r="A6" s="39" t="s">
        <v>658</v>
      </c>
      <c r="B6" s="40" t="n">
        <f aca="false">COUNTA(對照矩陣!$A$2:$A$140)</f>
        <v>139</v>
      </c>
      <c r="C6" s="40" t="n">
        <f aca="false">COUNTIF(對照矩陣!$F$2:$F$140,"完全支援")+COUNTIF(對照矩陣!$F$2:$F$140,"超越")+COUNTIF(對照矩陣!$F$2:$F$140,"011 已補強")</f>
        <v>77</v>
      </c>
      <c r="D6" s="41" t="n">
        <f aca="false">IFERROR(C6/B6,0)</f>
        <v>0.553956834532374</v>
      </c>
      <c r="E6" s="40" t="n">
        <f aca="false">COUNTIF(對照矩陣!$F$2:$F$140,"缺口")</f>
        <v>41</v>
      </c>
      <c r="F6" s="41" t="n">
        <f aca="false">IFERROR(E6/B6,0)</f>
        <v>0.294964028776978</v>
      </c>
      <c r="G6" s="40" t="n">
        <f aca="false">COUNTIF(對照矩陣!$F$2:$F$140,"需補 API")</f>
        <v>16</v>
      </c>
      <c r="H6" s="40" t="n">
        <f aca="false">COUNTIF(對照矩陣!$F$2:$F$140,"範圍外")</f>
        <v>5</v>
      </c>
    </row>
    <row r="7" customFormat="false" ht="15" hidden="false" customHeight="false" outlineLevel="0" collapsed="false">
      <c r="A7" s="42" t="s">
        <v>659</v>
      </c>
      <c r="B7" s="43" t="n">
        <f aca="false">COUNTA(對照矩陣!$A$2:$A$140)</f>
        <v>139</v>
      </c>
      <c r="C7" s="43" t="n">
        <f aca="false">COUNTIF(對照矩陣!$G$2:$G$140,"完全支援")+COUNTIF(對照矩陣!$G$2:$G$140,"超越")+COUNTIF(對照矩陣!$G$2:$G$140,"011 已補強")</f>
        <v>116</v>
      </c>
      <c r="D7" s="44" t="n">
        <f aca="false">IFERROR(C7/B7,0)</f>
        <v>0.83453237410072</v>
      </c>
      <c r="E7" s="43" t="n">
        <f aca="false">COUNTIF(對照矩陣!$G$2:$G$140,"缺口")</f>
        <v>5</v>
      </c>
      <c r="F7" s="44" t="n">
        <f aca="false">IFERROR(E7/B7,0)</f>
        <v>0.0359712230215827</v>
      </c>
      <c r="G7" s="43" t="n">
        <f aca="false">COUNTIF(對照矩陣!$G$2:$G$140,"需補 API")</f>
        <v>13</v>
      </c>
      <c r="H7" s="43" t="n">
        <f aca="false">COUNTIF(對照矩陣!$G$2:$G$140,"範圍外")</f>
        <v>5</v>
      </c>
    </row>
    <row r="9" customFormat="false" ht="19.4" hidden="false" customHeight="false" outlineLevel="0" collapsed="false">
      <c r="A9" s="38" t="s">
        <v>660</v>
      </c>
    </row>
    <row r="11" customFormat="false" ht="15" hidden="false" customHeight="false" outlineLevel="0" collapsed="false">
      <c r="A11" s="13" t="s">
        <v>42</v>
      </c>
      <c r="B11" s="13" t="s">
        <v>661</v>
      </c>
      <c r="C11" s="13" t="s">
        <v>21</v>
      </c>
      <c r="D11" s="13" t="s">
        <v>23</v>
      </c>
      <c r="E11" s="13" t="s">
        <v>657</v>
      </c>
      <c r="F11" s="14" t="s">
        <v>662</v>
      </c>
      <c r="G11" s="13" t="s">
        <v>29</v>
      </c>
      <c r="H11" s="13" t="s">
        <v>31</v>
      </c>
      <c r="I11" s="13" t="s">
        <v>663</v>
      </c>
    </row>
    <row r="12" customFormat="false" ht="15" hidden="false" customHeight="false" outlineLevel="0" collapsed="false">
      <c r="A12" s="39" t="s">
        <v>613</v>
      </c>
      <c r="B12" s="40" t="n">
        <f aca="false">COUNTIF(對照矩陣!$C$2:$C$140,$A12)</f>
        <v>4</v>
      </c>
      <c r="C12" s="40" t="n">
        <f aca="false">COUNTIFS(對照矩陣!$C$2:$C$140,$A12,對照矩陣!$G$2:$G$140,"超越")</f>
        <v>0</v>
      </c>
      <c r="D12" s="40" t="n">
        <f aca="false">COUNTIFS(對照矩陣!$C$2:$C$140,$A12,對照矩陣!$G$2:$G$140,"完全支援")</f>
        <v>0</v>
      </c>
      <c r="E12" s="40" t="n">
        <f aca="false">COUNTIFS(對照矩陣!$C$2:$C$140,$A12,對照矩陣!$G$2:$G$140,"需補 API")</f>
        <v>1</v>
      </c>
      <c r="F12" s="40" t="n">
        <f aca="false">COUNTIFS(對照矩陣!$C$2:$C$140,$A12,對照矩陣!$G$2:$G$140,"011 已補強")</f>
        <v>0</v>
      </c>
      <c r="G12" s="40" t="n">
        <f aca="false">COUNTIFS(對照矩陣!$C$2:$C$140,$A12,對照矩陣!$G$2:$G$140,"缺口")</f>
        <v>2</v>
      </c>
      <c r="H12" s="40" t="n">
        <f aca="false">COUNTIFS(對照矩陣!$C$2:$C$140,$A12,對照矩陣!$G$2:$G$140,"範圍外")</f>
        <v>1</v>
      </c>
      <c r="I12" s="45" t="n">
        <f aca="false">SUMIF(對照矩陣!$C$2:$C$140,$A12,對照矩陣!$K$2:$K$140)</f>
        <v>7</v>
      </c>
    </row>
    <row r="13" customFormat="false" ht="15" hidden="false" customHeight="false" outlineLevel="0" collapsed="false">
      <c r="A13" s="46" t="s">
        <v>584</v>
      </c>
      <c r="B13" s="47" t="n">
        <f aca="false">COUNTIF(對照矩陣!$C$2:$C$140,$A13)</f>
        <v>6</v>
      </c>
      <c r="C13" s="47" t="n">
        <f aca="false">COUNTIFS(對照矩陣!$C$2:$C$140,$A13,對照矩陣!$G$2:$G$140,"超越")</f>
        <v>1</v>
      </c>
      <c r="D13" s="47" t="n">
        <f aca="false">COUNTIFS(對照矩陣!$C$2:$C$140,$A13,對照矩陣!$G$2:$G$140,"完全支援")</f>
        <v>2</v>
      </c>
      <c r="E13" s="47" t="n">
        <f aca="false">COUNTIFS(對照矩陣!$C$2:$C$140,$A13,對照矩陣!$G$2:$G$140,"需補 API")</f>
        <v>0</v>
      </c>
      <c r="F13" s="47" t="n">
        <f aca="false">COUNTIFS(對照矩陣!$C$2:$C$140,$A13,對照矩陣!$G$2:$G$140,"011 已補強")</f>
        <v>3</v>
      </c>
      <c r="G13" s="47" t="n">
        <f aca="false">COUNTIFS(對照矩陣!$C$2:$C$140,$A13,對照矩陣!$G$2:$G$140,"缺口")</f>
        <v>0</v>
      </c>
      <c r="H13" s="47" t="n">
        <f aca="false">COUNTIFS(對照矩陣!$C$2:$C$140,$A13,對照矩陣!$G$2:$G$140,"範圍外")</f>
        <v>0</v>
      </c>
      <c r="I13" s="48" t="n">
        <f aca="false">SUMIF(對照矩陣!$C$2:$C$140,$A13,對照矩陣!$K$2:$K$140)</f>
        <v>11</v>
      </c>
    </row>
    <row r="14" customFormat="false" ht="15" hidden="false" customHeight="false" outlineLevel="0" collapsed="false">
      <c r="A14" s="49" t="s">
        <v>385</v>
      </c>
      <c r="B14" s="40" t="n">
        <f aca="false">COUNTIF(對照矩陣!$C$2:$C$140,$A14)</f>
        <v>21</v>
      </c>
      <c r="C14" s="40" t="n">
        <f aca="false">COUNTIFS(對照矩陣!$C$2:$C$140,$A14,對照矩陣!$G$2:$G$140,"超越")</f>
        <v>1</v>
      </c>
      <c r="D14" s="40" t="n">
        <f aca="false">COUNTIFS(對照矩陣!$C$2:$C$140,$A14,對照矩陣!$G$2:$G$140,"完全支援")</f>
        <v>13</v>
      </c>
      <c r="E14" s="40" t="n">
        <f aca="false">COUNTIFS(對照矩陣!$C$2:$C$140,$A14,對照矩陣!$G$2:$G$140,"需補 API")</f>
        <v>4</v>
      </c>
      <c r="F14" s="40" t="n">
        <f aca="false">COUNTIFS(對照矩陣!$C$2:$C$140,$A14,對照矩陣!$G$2:$G$140,"011 已補強")</f>
        <v>2</v>
      </c>
      <c r="G14" s="40" t="n">
        <f aca="false">COUNTIFS(對照矩陣!$C$2:$C$140,$A14,對照矩陣!$G$2:$G$140,"缺口")</f>
        <v>1</v>
      </c>
      <c r="H14" s="40" t="n">
        <f aca="false">COUNTIFS(對照矩陣!$C$2:$C$140,$A14,對照矩陣!$G$2:$G$140,"範圍外")</f>
        <v>0</v>
      </c>
      <c r="I14" s="45" t="n">
        <f aca="false">SUMIF(對照矩陣!$C$2:$C$140,$A14,對照矩陣!$K$2:$K$140)</f>
        <v>28.5</v>
      </c>
    </row>
    <row r="15" customFormat="false" ht="15" hidden="false" customHeight="false" outlineLevel="0" collapsed="false">
      <c r="A15" s="50" t="s">
        <v>291</v>
      </c>
      <c r="B15" s="47" t="n">
        <f aca="false">COUNTIF(對照矩陣!$C$2:$C$140,$A15)</f>
        <v>8</v>
      </c>
      <c r="C15" s="47" t="n">
        <f aca="false">COUNTIFS(對照矩陣!$C$2:$C$140,$A15,對照矩陣!$G$2:$G$140,"超越")</f>
        <v>0</v>
      </c>
      <c r="D15" s="47" t="n">
        <f aca="false">COUNTIFS(對照矩陣!$C$2:$C$140,$A15,對照矩陣!$G$2:$G$140,"完全支援")</f>
        <v>2</v>
      </c>
      <c r="E15" s="47" t="n">
        <f aca="false">COUNTIFS(對照矩陣!$C$2:$C$140,$A15,對照矩陣!$G$2:$G$140,"需補 API")</f>
        <v>0</v>
      </c>
      <c r="F15" s="47" t="n">
        <f aca="false">COUNTIFS(對照矩陣!$C$2:$C$140,$A15,對照矩陣!$G$2:$G$140,"011 已補強")</f>
        <v>6</v>
      </c>
      <c r="G15" s="47" t="n">
        <f aca="false">COUNTIFS(對照矩陣!$C$2:$C$140,$A15,對照矩陣!$G$2:$G$140,"缺口")</f>
        <v>0</v>
      </c>
      <c r="H15" s="47" t="n">
        <f aca="false">COUNTIFS(對照矩陣!$C$2:$C$140,$A15,對照矩陣!$G$2:$G$140,"範圍外")</f>
        <v>0</v>
      </c>
      <c r="I15" s="48" t="n">
        <f aca="false">SUMIF(對照矩陣!$C$2:$C$140,$A15,對照矩陣!$K$2:$K$140)</f>
        <v>5.5</v>
      </c>
    </row>
    <row r="16" customFormat="false" ht="15" hidden="false" customHeight="false" outlineLevel="0" collapsed="false">
      <c r="A16" s="49" t="s">
        <v>249</v>
      </c>
      <c r="B16" s="40" t="n">
        <f aca="false">COUNTIF(對照矩陣!$C$2:$C$140,$A16)</f>
        <v>6</v>
      </c>
      <c r="C16" s="40" t="n">
        <f aca="false">COUNTIFS(對照矩陣!$C$2:$C$140,$A16,對照矩陣!$G$2:$G$140,"超越")</f>
        <v>0</v>
      </c>
      <c r="D16" s="40" t="n">
        <f aca="false">COUNTIFS(對照矩陣!$C$2:$C$140,$A16,對照矩陣!$G$2:$G$140,"完全支援")</f>
        <v>0</v>
      </c>
      <c r="E16" s="40" t="n">
        <f aca="false">COUNTIFS(對照矩陣!$C$2:$C$140,$A16,對照矩陣!$G$2:$G$140,"需補 API")</f>
        <v>0</v>
      </c>
      <c r="F16" s="40" t="n">
        <f aca="false">COUNTIFS(對照矩陣!$C$2:$C$140,$A16,對照矩陣!$G$2:$G$140,"011 已補強")</f>
        <v>6</v>
      </c>
      <c r="G16" s="40" t="n">
        <f aca="false">COUNTIFS(對照矩陣!$C$2:$C$140,$A16,對照矩陣!$G$2:$G$140,"缺口")</f>
        <v>0</v>
      </c>
      <c r="H16" s="40" t="n">
        <f aca="false">COUNTIFS(對照矩陣!$C$2:$C$140,$A16,對照矩陣!$G$2:$G$140,"範圍外")</f>
        <v>0</v>
      </c>
      <c r="I16" s="45" t="n">
        <f aca="false">SUMIF(對照矩陣!$C$2:$C$140,$A16,對照矩陣!$K$2:$K$140)</f>
        <v>24.5</v>
      </c>
    </row>
    <row r="17" customFormat="false" ht="15" hidden="false" customHeight="false" outlineLevel="0" collapsed="false">
      <c r="A17" s="50" t="s">
        <v>54</v>
      </c>
      <c r="B17" s="47" t="n">
        <f aca="false">COUNTIF(對照矩陣!$C$2:$C$140,$A17)</f>
        <v>2</v>
      </c>
      <c r="C17" s="47" t="n">
        <f aca="false">COUNTIFS(對照矩陣!$C$2:$C$140,$A17,對照矩陣!$G$2:$G$140,"超越")</f>
        <v>2</v>
      </c>
      <c r="D17" s="47" t="n">
        <f aca="false">COUNTIFS(對照矩陣!$C$2:$C$140,$A17,對照矩陣!$G$2:$G$140,"完全支援")</f>
        <v>0</v>
      </c>
      <c r="E17" s="47" t="n">
        <f aca="false">COUNTIFS(對照矩陣!$C$2:$C$140,$A17,對照矩陣!$G$2:$G$140,"需補 API")</f>
        <v>0</v>
      </c>
      <c r="F17" s="47" t="n">
        <f aca="false">COUNTIFS(對照矩陣!$C$2:$C$140,$A17,對照矩陣!$G$2:$G$140,"011 已補強")</f>
        <v>0</v>
      </c>
      <c r="G17" s="47" t="n">
        <f aca="false">COUNTIFS(對照矩陣!$C$2:$C$140,$A17,對照矩陣!$G$2:$G$140,"缺口")</f>
        <v>0</v>
      </c>
      <c r="H17" s="47" t="n">
        <f aca="false">COUNTIFS(對照矩陣!$C$2:$C$140,$A17,對照矩陣!$G$2:$G$140,"範圍外")</f>
        <v>0</v>
      </c>
      <c r="I17" s="48" t="n">
        <f aca="false">SUMIF(對照矩陣!$C$2:$C$140,$A17,對照矩陣!$K$2:$K$140)</f>
        <v>0</v>
      </c>
    </row>
    <row r="18" customFormat="false" ht="15" hidden="false" customHeight="false" outlineLevel="0" collapsed="false">
      <c r="A18" s="49" t="s">
        <v>528</v>
      </c>
      <c r="B18" s="40" t="n">
        <f aca="false">COUNTIF(對照矩陣!$C$2:$C$140,$A18)</f>
        <v>14</v>
      </c>
      <c r="C18" s="40" t="n">
        <f aca="false">COUNTIFS(對照矩陣!$C$2:$C$140,$A18,對照矩陣!$G$2:$G$140,"超越")</f>
        <v>2</v>
      </c>
      <c r="D18" s="40" t="n">
        <f aca="false">COUNTIFS(對照矩陣!$C$2:$C$140,$A18,對照矩陣!$G$2:$G$140,"完全支援")</f>
        <v>1</v>
      </c>
      <c r="E18" s="40" t="n">
        <f aca="false">COUNTIFS(對照矩陣!$C$2:$C$140,$A18,對照矩陣!$G$2:$G$140,"需補 API")</f>
        <v>1</v>
      </c>
      <c r="F18" s="40" t="n">
        <f aca="false">COUNTIFS(對照矩陣!$C$2:$C$140,$A18,對照矩陣!$G$2:$G$140,"011 已補強")</f>
        <v>5</v>
      </c>
      <c r="G18" s="40" t="n">
        <f aca="false">COUNTIFS(對照矩陣!$C$2:$C$140,$A18,對照矩陣!$G$2:$G$140,"缺口")</f>
        <v>1</v>
      </c>
      <c r="H18" s="40" t="n">
        <f aca="false">COUNTIFS(對照矩陣!$C$2:$C$140,$A18,對照矩陣!$G$2:$G$140,"範圍外")</f>
        <v>4</v>
      </c>
      <c r="I18" s="45" t="n">
        <f aca="false">SUMIF(對照矩陣!$C$2:$C$140,$A18,對照矩陣!$K$2:$K$140)</f>
        <v>12</v>
      </c>
    </row>
    <row r="19" customFormat="false" ht="15" hidden="false" customHeight="false" outlineLevel="0" collapsed="false">
      <c r="A19" s="50" t="s">
        <v>194</v>
      </c>
      <c r="B19" s="47" t="n">
        <f aca="false">COUNTIF(對照矩陣!$C$2:$C$140,$A19)</f>
        <v>12</v>
      </c>
      <c r="C19" s="47" t="n">
        <f aca="false">COUNTIFS(對照矩陣!$C$2:$C$140,$A19,對照矩陣!$G$2:$G$140,"超越")</f>
        <v>0</v>
      </c>
      <c r="D19" s="47" t="n">
        <f aca="false">COUNTIFS(對照矩陣!$C$2:$C$140,$A19,對照矩陣!$G$2:$G$140,"完全支援")</f>
        <v>9</v>
      </c>
      <c r="E19" s="47" t="n">
        <f aca="false">COUNTIFS(對照矩陣!$C$2:$C$140,$A19,對照矩陣!$G$2:$G$140,"需補 API")</f>
        <v>1</v>
      </c>
      <c r="F19" s="47" t="n">
        <f aca="false">COUNTIFS(對照矩陣!$C$2:$C$140,$A19,對照矩陣!$G$2:$G$140,"011 已補強")</f>
        <v>2</v>
      </c>
      <c r="G19" s="47" t="n">
        <f aca="false">COUNTIFS(對照矩陣!$C$2:$C$140,$A19,對照矩陣!$G$2:$G$140,"缺口")</f>
        <v>0</v>
      </c>
      <c r="H19" s="47" t="n">
        <f aca="false">COUNTIFS(對照矩陣!$C$2:$C$140,$A19,對照矩陣!$G$2:$G$140,"範圍外")</f>
        <v>0</v>
      </c>
      <c r="I19" s="48" t="n">
        <f aca="false">SUMIF(對照矩陣!$C$2:$C$140,$A19,對照矩陣!$K$2:$K$140)</f>
        <v>15</v>
      </c>
    </row>
    <row r="20" customFormat="false" ht="15" hidden="false" customHeight="false" outlineLevel="0" collapsed="false">
      <c r="A20" s="49" t="s">
        <v>68</v>
      </c>
      <c r="B20" s="40" t="n">
        <f aca="false">COUNTIF(對照矩陣!$C$2:$C$140,$A20)</f>
        <v>2</v>
      </c>
      <c r="C20" s="40" t="n">
        <f aca="false">COUNTIFS(對照矩陣!$C$2:$C$140,$A20,對照矩陣!$G$2:$G$140,"超越")</f>
        <v>1</v>
      </c>
      <c r="D20" s="40" t="n">
        <f aca="false">COUNTIFS(對照矩陣!$C$2:$C$140,$A20,對照矩陣!$G$2:$G$140,"完全支援")</f>
        <v>0</v>
      </c>
      <c r="E20" s="40" t="n">
        <f aca="false">COUNTIFS(對照矩陣!$C$2:$C$140,$A20,對照矩陣!$G$2:$G$140,"需補 API")</f>
        <v>1</v>
      </c>
      <c r="F20" s="40" t="n">
        <f aca="false">COUNTIFS(對照矩陣!$C$2:$C$140,$A20,對照矩陣!$G$2:$G$140,"011 已補強")</f>
        <v>0</v>
      </c>
      <c r="G20" s="40" t="n">
        <f aca="false">COUNTIFS(對照矩陣!$C$2:$C$140,$A20,對照矩陣!$G$2:$G$140,"缺口")</f>
        <v>0</v>
      </c>
      <c r="H20" s="40" t="n">
        <f aca="false">COUNTIFS(對照矩陣!$C$2:$C$140,$A20,對照矩陣!$G$2:$G$140,"範圍外")</f>
        <v>0</v>
      </c>
      <c r="I20" s="45" t="n">
        <f aca="false">SUMIF(對照矩陣!$C$2:$C$140,$A20,對照矩陣!$K$2:$K$140)</f>
        <v>2</v>
      </c>
    </row>
    <row r="21" customFormat="false" ht="15" hidden="false" customHeight="false" outlineLevel="0" collapsed="false">
      <c r="A21" s="50" t="s">
        <v>80</v>
      </c>
      <c r="B21" s="47" t="n">
        <f aca="false">COUNTIF(對照矩陣!$C$2:$C$140,$A21)</f>
        <v>15</v>
      </c>
      <c r="C21" s="47" t="n">
        <f aca="false">COUNTIFS(對照矩陣!$C$2:$C$140,$A21,對照矩陣!$G$2:$G$140,"超越")</f>
        <v>2</v>
      </c>
      <c r="D21" s="47" t="n">
        <f aca="false">COUNTIFS(對照矩陣!$C$2:$C$140,$A21,對照矩陣!$G$2:$G$140,"完全支援")</f>
        <v>7</v>
      </c>
      <c r="E21" s="47" t="n">
        <f aca="false">COUNTIFS(對照矩陣!$C$2:$C$140,$A21,對照矩陣!$G$2:$G$140,"需補 API")</f>
        <v>0</v>
      </c>
      <c r="F21" s="47" t="n">
        <f aca="false">COUNTIFS(對照矩陣!$C$2:$C$140,$A21,對照矩陣!$G$2:$G$140,"011 已補強")</f>
        <v>5</v>
      </c>
      <c r="G21" s="47" t="n">
        <f aca="false">COUNTIFS(對照矩陣!$C$2:$C$140,$A21,對照矩陣!$G$2:$G$140,"缺口")</f>
        <v>1</v>
      </c>
      <c r="H21" s="47" t="n">
        <f aca="false">COUNTIFS(對照矩陣!$C$2:$C$140,$A21,對照矩陣!$G$2:$G$140,"範圍外")</f>
        <v>0</v>
      </c>
      <c r="I21" s="48" t="n">
        <f aca="false">SUMIF(對照矩陣!$C$2:$C$140,$A21,對照矩陣!$K$2:$K$140)</f>
        <v>16.5</v>
      </c>
    </row>
    <row r="22" customFormat="false" ht="15" hidden="false" customHeight="false" outlineLevel="0" collapsed="false">
      <c r="A22" s="49" t="s">
        <v>463</v>
      </c>
      <c r="B22" s="40" t="n">
        <f aca="false">COUNTIF(對照矩陣!$C$2:$C$140,$A22)</f>
        <v>3</v>
      </c>
      <c r="C22" s="40" t="n">
        <f aca="false">COUNTIFS(對照矩陣!$C$2:$C$140,$A22,對照矩陣!$G$2:$G$140,"超越")</f>
        <v>0</v>
      </c>
      <c r="D22" s="40" t="n">
        <f aca="false">COUNTIFS(對照矩陣!$C$2:$C$140,$A22,對照矩陣!$G$2:$G$140,"完全支援")</f>
        <v>2</v>
      </c>
      <c r="E22" s="40" t="n">
        <f aca="false">COUNTIFS(對照矩陣!$C$2:$C$140,$A22,對照矩陣!$G$2:$G$140,"需補 API")</f>
        <v>1</v>
      </c>
      <c r="F22" s="40" t="n">
        <f aca="false">COUNTIFS(對照矩陣!$C$2:$C$140,$A22,對照矩陣!$G$2:$G$140,"011 已補強")</f>
        <v>0</v>
      </c>
      <c r="G22" s="40" t="n">
        <f aca="false">COUNTIFS(對照矩陣!$C$2:$C$140,$A22,對照矩陣!$G$2:$G$140,"缺口")</f>
        <v>0</v>
      </c>
      <c r="H22" s="40" t="n">
        <f aca="false">COUNTIFS(對照矩陣!$C$2:$C$140,$A22,對照矩陣!$G$2:$G$140,"範圍外")</f>
        <v>0</v>
      </c>
      <c r="I22" s="45" t="n">
        <f aca="false">SUMIF(對照矩陣!$C$2:$C$140,$A22,對照矩陣!$K$2:$K$140)</f>
        <v>3</v>
      </c>
    </row>
    <row r="23" customFormat="false" ht="15" hidden="false" customHeight="false" outlineLevel="0" collapsed="false">
      <c r="A23" s="50" t="s">
        <v>326</v>
      </c>
      <c r="B23" s="47" t="n">
        <f aca="false">COUNTIF(對照矩陣!$C$2:$C$140,$A23)</f>
        <v>17</v>
      </c>
      <c r="C23" s="47" t="n">
        <f aca="false">COUNTIFS(對照矩陣!$C$2:$C$140,$A23,對照矩陣!$G$2:$G$140,"超越")</f>
        <v>0</v>
      </c>
      <c r="D23" s="47" t="n">
        <f aca="false">COUNTIFS(對照矩陣!$C$2:$C$140,$A23,對照矩陣!$G$2:$G$140,"完全支援")</f>
        <v>15</v>
      </c>
      <c r="E23" s="47" t="n">
        <f aca="false">COUNTIFS(對照矩陣!$C$2:$C$140,$A23,對照矩陣!$G$2:$G$140,"需補 API")</f>
        <v>1</v>
      </c>
      <c r="F23" s="47" t="n">
        <f aca="false">COUNTIFS(對照矩陣!$C$2:$C$140,$A23,對照矩陣!$G$2:$G$140,"011 已補強")</f>
        <v>1</v>
      </c>
      <c r="G23" s="47" t="n">
        <f aca="false">COUNTIFS(對照矩陣!$C$2:$C$140,$A23,對照矩陣!$G$2:$G$140,"缺口")</f>
        <v>0</v>
      </c>
      <c r="H23" s="47" t="n">
        <f aca="false">COUNTIFS(對照矩陣!$C$2:$C$140,$A23,對照矩陣!$G$2:$G$140,"範圍外")</f>
        <v>0</v>
      </c>
      <c r="I23" s="48" t="n">
        <f aca="false">SUMIF(對照矩陣!$C$2:$C$140,$A23,對照矩陣!$K$2:$K$140)</f>
        <v>9.5</v>
      </c>
    </row>
    <row r="24" customFormat="false" ht="15" hidden="false" customHeight="false" outlineLevel="0" collapsed="false">
      <c r="A24" s="49" t="s">
        <v>628</v>
      </c>
      <c r="B24" s="40" t="n">
        <f aca="false">COUNTIF(對照矩陣!$C$2:$C$140,$A24)</f>
        <v>5</v>
      </c>
      <c r="C24" s="40" t="n">
        <f aca="false">COUNTIFS(對照矩陣!$C$2:$C$140,$A24,對照矩陣!$G$2:$G$140,"超越")</f>
        <v>0</v>
      </c>
      <c r="D24" s="40" t="n">
        <f aca="false">COUNTIFS(對照矩陣!$C$2:$C$140,$A24,對照矩陣!$G$2:$G$140,"完全支援")</f>
        <v>2</v>
      </c>
      <c r="E24" s="40" t="n">
        <f aca="false">COUNTIFS(對照矩陣!$C$2:$C$140,$A24,對照矩陣!$G$2:$G$140,"需補 API")</f>
        <v>0</v>
      </c>
      <c r="F24" s="40" t="n">
        <f aca="false">COUNTIFS(對照矩陣!$C$2:$C$140,$A24,對照矩陣!$G$2:$G$140,"011 已補強")</f>
        <v>3</v>
      </c>
      <c r="G24" s="40" t="n">
        <f aca="false">COUNTIFS(對照矩陣!$C$2:$C$140,$A24,對照矩陣!$G$2:$G$140,"缺口")</f>
        <v>0</v>
      </c>
      <c r="H24" s="40" t="n">
        <f aca="false">COUNTIFS(對照矩陣!$C$2:$C$140,$A24,對照矩陣!$G$2:$G$140,"範圍外")</f>
        <v>0</v>
      </c>
      <c r="I24" s="45" t="n">
        <f aca="false">SUMIF(對照矩陣!$C$2:$C$140,$A24,對照矩陣!$K$2:$K$140)</f>
        <v>0</v>
      </c>
    </row>
    <row r="25" customFormat="false" ht="15" hidden="false" customHeight="false" outlineLevel="0" collapsed="false">
      <c r="A25" s="50" t="s">
        <v>492</v>
      </c>
      <c r="B25" s="47" t="n">
        <f aca="false">COUNTIF(對照矩陣!$C$2:$C$140,$A25)</f>
        <v>8</v>
      </c>
      <c r="C25" s="47" t="n">
        <f aca="false">COUNTIFS(對照矩陣!$C$2:$C$140,$A25,對照矩陣!$G$2:$G$140,"超越")</f>
        <v>1</v>
      </c>
      <c r="D25" s="47" t="n">
        <f aca="false">COUNTIFS(對照矩陣!$C$2:$C$140,$A25,對照矩陣!$G$2:$G$140,"完全支援")</f>
        <v>4</v>
      </c>
      <c r="E25" s="47" t="n">
        <f aca="false">COUNTIFS(對照矩陣!$C$2:$C$140,$A25,對照矩陣!$G$2:$G$140,"需補 API")</f>
        <v>1</v>
      </c>
      <c r="F25" s="47" t="n">
        <f aca="false">COUNTIFS(對照矩陣!$C$2:$C$140,$A25,對照矩陣!$G$2:$G$140,"011 已補強")</f>
        <v>2</v>
      </c>
      <c r="G25" s="47" t="n">
        <f aca="false">COUNTIFS(對照矩陣!$C$2:$C$140,$A25,對照矩陣!$G$2:$G$140,"缺口")</f>
        <v>0</v>
      </c>
      <c r="H25" s="47" t="n">
        <f aca="false">COUNTIFS(對照矩陣!$C$2:$C$140,$A25,對照矩陣!$G$2:$G$140,"範圍外")</f>
        <v>0</v>
      </c>
      <c r="I25" s="48" t="n">
        <f aca="false">SUMIF(對照矩陣!$C$2:$C$140,$A25,對照矩陣!$K$2:$K$140)</f>
        <v>7.5</v>
      </c>
    </row>
    <row r="26" customFormat="false" ht="15" hidden="false" customHeight="false" outlineLevel="0" collapsed="false">
      <c r="A26" s="49" t="s">
        <v>479</v>
      </c>
      <c r="B26" s="40" t="n">
        <f aca="false">COUNTIF(對照矩陣!$C$2:$C$140,$A26)</f>
        <v>2</v>
      </c>
      <c r="C26" s="40" t="n">
        <f aca="false">COUNTIFS(對照矩陣!$C$2:$C$140,$A26,對照矩陣!$G$2:$G$140,"超越")</f>
        <v>0</v>
      </c>
      <c r="D26" s="40" t="n">
        <f aca="false">COUNTIFS(對照矩陣!$C$2:$C$140,$A26,對照矩陣!$G$2:$G$140,"完全支援")</f>
        <v>0</v>
      </c>
      <c r="E26" s="40" t="n">
        <f aca="false">COUNTIFS(對照矩陣!$C$2:$C$140,$A26,對照矩陣!$G$2:$G$140,"需補 API")</f>
        <v>0</v>
      </c>
      <c r="F26" s="40" t="n">
        <f aca="false">COUNTIFS(對照矩陣!$C$2:$C$140,$A26,對照矩陣!$G$2:$G$140,"011 已補強")</f>
        <v>2</v>
      </c>
      <c r="G26" s="40" t="n">
        <f aca="false">COUNTIFS(對照矩陣!$C$2:$C$140,$A26,對照矩陣!$G$2:$G$140,"缺口")</f>
        <v>0</v>
      </c>
      <c r="H26" s="40" t="n">
        <f aca="false">COUNTIFS(對照矩陣!$C$2:$C$140,$A26,對照矩陣!$G$2:$G$140,"範圍外")</f>
        <v>0</v>
      </c>
      <c r="I26" s="45" t="n">
        <f aca="false">SUMIF(對照矩陣!$C$2:$C$140,$A26,對照矩陣!$K$2:$K$140)</f>
        <v>5</v>
      </c>
    </row>
    <row r="27" customFormat="false" ht="15" hidden="false" customHeight="false" outlineLevel="0" collapsed="false">
      <c r="A27" s="50" t="s">
        <v>131</v>
      </c>
      <c r="B27" s="47" t="n">
        <f aca="false">COUNTIF(對照矩陣!$C$2:$C$140,$A27)</f>
        <v>14</v>
      </c>
      <c r="C27" s="47" t="n">
        <f aca="false">COUNTIFS(對照矩陣!$C$2:$C$140,$A27,對照矩陣!$G$2:$G$140,"超越")</f>
        <v>2</v>
      </c>
      <c r="D27" s="47" t="n">
        <f aca="false">COUNTIFS(對照矩陣!$C$2:$C$140,$A27,對照矩陣!$G$2:$G$140,"完全支援")</f>
        <v>8</v>
      </c>
      <c r="E27" s="47" t="n">
        <f aca="false">COUNTIFS(對照矩陣!$C$2:$C$140,$A27,對照矩陣!$G$2:$G$140,"需補 API")</f>
        <v>2</v>
      </c>
      <c r="F27" s="47" t="n">
        <f aca="false">COUNTIFS(對照矩陣!$C$2:$C$140,$A27,對照矩陣!$G$2:$G$140,"011 已補強")</f>
        <v>2</v>
      </c>
      <c r="G27" s="47" t="n">
        <f aca="false">COUNTIFS(對照矩陣!$C$2:$C$140,$A27,對照矩陣!$G$2:$G$140,"缺口")</f>
        <v>0</v>
      </c>
      <c r="H27" s="47" t="n">
        <f aca="false">COUNTIFS(對照矩陣!$C$2:$C$140,$A27,對照矩陣!$G$2:$G$140,"範圍外")</f>
        <v>0</v>
      </c>
      <c r="I27" s="48" t="n">
        <f aca="false">SUMIF(對照矩陣!$C$2:$C$140,$A27,對照矩陣!$K$2:$K$140)</f>
        <v>13</v>
      </c>
    </row>
    <row r="28" customFormat="false" ht="15" hidden="false" customHeight="false" outlineLevel="0" collapsed="false">
      <c r="A28" s="51" t="s">
        <v>664</v>
      </c>
      <c r="B28" s="52" t="n">
        <f aca="false">SUM(B12:B27)</f>
        <v>139</v>
      </c>
      <c r="C28" s="52" t="n">
        <f aca="false">SUM(C12:C27)</f>
        <v>12</v>
      </c>
      <c r="D28" s="52" t="n">
        <f aca="false">SUM(D12:D27)</f>
        <v>65</v>
      </c>
      <c r="E28" s="52" t="n">
        <f aca="false">SUM(E12:E27)</f>
        <v>13</v>
      </c>
      <c r="F28" s="52" t="n">
        <f aca="false">SUM(F12:F27)</f>
        <v>39</v>
      </c>
      <c r="G28" s="52" t="n">
        <f aca="false">SUM(G12:G27)</f>
        <v>5</v>
      </c>
      <c r="H28" s="52" t="n">
        <f aca="false">SUM(H12:H27)</f>
        <v>5</v>
      </c>
      <c r="I28" s="53" t="n">
        <f aca="false">SUM(I12:I27)</f>
        <v>160</v>
      </c>
    </row>
    <row r="30" customFormat="false" ht="15" hidden="false" customHeight="false" outlineLevel="0" collapsed="false">
      <c r="A30" s="54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1.6" hidden="false" customHeight="false" outlineLevel="0" collapsed="false">
      <c r="A1" s="37" t="s">
        <v>666</v>
      </c>
    </row>
    <row r="3" customFormat="false" ht="15" hidden="false" customHeight="false" outlineLevel="0" collapsed="false">
      <c r="A3" s="13" t="s">
        <v>667</v>
      </c>
      <c r="B3" s="13" t="s">
        <v>42</v>
      </c>
      <c r="C3" s="13" t="s">
        <v>43</v>
      </c>
      <c r="D3" s="13" t="s">
        <v>668</v>
      </c>
      <c r="E3" s="13" t="s">
        <v>50</v>
      </c>
      <c r="F3" s="13" t="s">
        <v>669</v>
      </c>
      <c r="G3" s="13" t="s">
        <v>670</v>
      </c>
    </row>
    <row r="4" customFormat="false" ht="15" hidden="false" customHeight="false" outlineLevel="0" collapsed="false">
      <c r="A4" s="55" t="s">
        <v>671</v>
      </c>
      <c r="B4" s="56" t="s">
        <v>492</v>
      </c>
      <c r="C4" s="16" t="s">
        <v>672</v>
      </c>
      <c r="D4" s="18" t="s">
        <v>503</v>
      </c>
      <c r="E4" s="57" t="n">
        <v>4</v>
      </c>
      <c r="F4" s="56" t="s">
        <v>673</v>
      </c>
      <c r="G4" s="58"/>
    </row>
    <row r="5" customFormat="false" ht="15" hidden="false" customHeight="false" outlineLevel="0" collapsed="false">
      <c r="A5" s="59" t="s">
        <v>671</v>
      </c>
      <c r="B5" s="60" t="s">
        <v>131</v>
      </c>
      <c r="C5" s="24" t="s">
        <v>135</v>
      </c>
      <c r="D5" s="24" t="s">
        <v>138</v>
      </c>
      <c r="E5" s="61" t="n">
        <v>3</v>
      </c>
      <c r="F5" s="60" t="s">
        <v>673</v>
      </c>
      <c r="G5" s="58"/>
    </row>
    <row r="6" customFormat="false" ht="15" hidden="false" customHeight="false" outlineLevel="0" collapsed="false">
      <c r="A6" s="55" t="s">
        <v>671</v>
      </c>
      <c r="B6" s="56" t="s">
        <v>194</v>
      </c>
      <c r="C6" s="16" t="s">
        <v>217</v>
      </c>
      <c r="D6" s="18" t="s">
        <v>221</v>
      </c>
      <c r="E6" s="57" t="n">
        <v>2</v>
      </c>
      <c r="F6" s="56" t="s">
        <v>673</v>
      </c>
      <c r="G6" s="58"/>
    </row>
    <row r="7" customFormat="false" ht="15" hidden="false" customHeight="false" outlineLevel="0" collapsed="false">
      <c r="A7" s="59" t="s">
        <v>671</v>
      </c>
      <c r="B7" s="60" t="s">
        <v>194</v>
      </c>
      <c r="C7" s="24" t="s">
        <v>230</v>
      </c>
      <c r="D7" s="26" t="s">
        <v>674</v>
      </c>
      <c r="E7" s="61" t="n">
        <v>2</v>
      </c>
      <c r="F7" s="60" t="s">
        <v>673</v>
      </c>
      <c r="G7" s="58"/>
    </row>
    <row r="8" customFormat="false" ht="15" hidden="false" customHeight="false" outlineLevel="0" collapsed="false">
      <c r="A8" s="55" t="s">
        <v>671</v>
      </c>
      <c r="B8" s="56" t="s">
        <v>326</v>
      </c>
      <c r="C8" s="16" t="s">
        <v>379</v>
      </c>
      <c r="D8" s="16" t="s">
        <v>383</v>
      </c>
      <c r="E8" s="57" t="n">
        <v>2</v>
      </c>
      <c r="F8" s="56" t="s">
        <v>673</v>
      </c>
      <c r="G8" s="58"/>
    </row>
    <row r="9" customFormat="false" ht="15" hidden="false" customHeight="false" outlineLevel="0" collapsed="false">
      <c r="A9" s="59" t="s">
        <v>671</v>
      </c>
      <c r="B9" s="60" t="s">
        <v>194</v>
      </c>
      <c r="C9" s="24" t="s">
        <v>240</v>
      </c>
      <c r="D9" s="26" t="s">
        <v>674</v>
      </c>
      <c r="E9" s="61" t="n">
        <v>1.5</v>
      </c>
      <c r="F9" s="60" t="s">
        <v>673</v>
      </c>
      <c r="G9" s="58"/>
    </row>
    <row r="10" customFormat="false" ht="15" hidden="false" customHeight="false" outlineLevel="0" collapsed="false">
      <c r="A10" s="55" t="s">
        <v>671</v>
      </c>
      <c r="B10" s="56" t="s">
        <v>326</v>
      </c>
      <c r="C10" s="18" t="s">
        <v>675</v>
      </c>
      <c r="D10" s="16" t="s">
        <v>349</v>
      </c>
      <c r="E10" s="57" t="n">
        <v>1.5</v>
      </c>
      <c r="F10" s="56" t="s">
        <v>673</v>
      </c>
      <c r="G10" s="58"/>
    </row>
    <row r="11" customFormat="false" ht="15" hidden="false" customHeight="false" outlineLevel="0" collapsed="false">
      <c r="A11" s="59" t="s">
        <v>671</v>
      </c>
      <c r="B11" s="60" t="s">
        <v>131</v>
      </c>
      <c r="C11" s="24" t="s">
        <v>171</v>
      </c>
      <c r="D11" s="24" t="s">
        <v>174</v>
      </c>
      <c r="E11" s="61" t="n">
        <v>1</v>
      </c>
      <c r="F11" s="60" t="s">
        <v>673</v>
      </c>
      <c r="G11" s="58"/>
    </row>
    <row r="12" customFormat="false" ht="15" hidden="false" customHeight="false" outlineLevel="0" collapsed="false">
      <c r="A12" s="55" t="s">
        <v>671</v>
      </c>
      <c r="B12" s="56" t="s">
        <v>131</v>
      </c>
      <c r="C12" s="16" t="s">
        <v>189</v>
      </c>
      <c r="D12" s="18" t="s">
        <v>674</v>
      </c>
      <c r="E12" s="57" t="n">
        <v>1</v>
      </c>
      <c r="F12" s="56" t="s">
        <v>673</v>
      </c>
      <c r="G12" s="58"/>
    </row>
    <row r="13" customFormat="false" ht="15" hidden="false" customHeight="false" outlineLevel="0" collapsed="false">
      <c r="A13" s="59" t="s">
        <v>671</v>
      </c>
      <c r="B13" s="60" t="s">
        <v>194</v>
      </c>
      <c r="C13" s="24" t="s">
        <v>195</v>
      </c>
      <c r="D13" s="26" t="s">
        <v>674</v>
      </c>
      <c r="E13" s="61" t="n">
        <v>1</v>
      </c>
      <c r="F13" s="60" t="s">
        <v>673</v>
      </c>
      <c r="G13" s="58"/>
    </row>
    <row r="14" customFormat="false" ht="15" hidden="false" customHeight="false" outlineLevel="0" collapsed="false">
      <c r="A14" s="55" t="s">
        <v>671</v>
      </c>
      <c r="B14" s="56" t="s">
        <v>80</v>
      </c>
      <c r="C14" s="16" t="s">
        <v>286</v>
      </c>
      <c r="D14" s="18" t="s">
        <v>674</v>
      </c>
      <c r="E14" s="57" t="n">
        <v>1</v>
      </c>
      <c r="F14" s="56" t="s">
        <v>673</v>
      </c>
      <c r="G14" s="58"/>
    </row>
    <row r="15" customFormat="false" ht="15" hidden="false" customHeight="false" outlineLevel="0" collapsed="false">
      <c r="A15" s="59" t="s">
        <v>671</v>
      </c>
      <c r="B15" s="60" t="s">
        <v>463</v>
      </c>
      <c r="C15" s="24" t="s">
        <v>464</v>
      </c>
      <c r="D15" s="24" t="s">
        <v>468</v>
      </c>
      <c r="E15" s="61" t="n">
        <v>1</v>
      </c>
      <c r="F15" s="60" t="s">
        <v>673</v>
      </c>
      <c r="G15" s="58"/>
    </row>
    <row r="16" customFormat="false" ht="15" hidden="false" customHeight="false" outlineLevel="0" collapsed="false">
      <c r="A16" s="55" t="s">
        <v>671</v>
      </c>
      <c r="B16" s="56" t="s">
        <v>194</v>
      </c>
      <c r="C16" s="16" t="s">
        <v>245</v>
      </c>
      <c r="D16" s="18" t="s">
        <v>674</v>
      </c>
      <c r="E16" s="57" t="n">
        <v>0.5</v>
      </c>
      <c r="F16" s="56" t="s">
        <v>673</v>
      </c>
      <c r="G16" s="58"/>
    </row>
    <row r="17" customFormat="false" ht="15" hidden="false" customHeight="false" outlineLevel="0" collapsed="false">
      <c r="A17" s="59" t="s">
        <v>671</v>
      </c>
      <c r="B17" s="60" t="s">
        <v>291</v>
      </c>
      <c r="C17" s="24" t="s">
        <v>292</v>
      </c>
      <c r="D17" s="26" t="s">
        <v>296</v>
      </c>
      <c r="E17" s="61" t="n">
        <v>0.5</v>
      </c>
      <c r="F17" s="60" t="s">
        <v>673</v>
      </c>
      <c r="G17" s="58"/>
    </row>
    <row r="18" customFormat="false" ht="15" hidden="false" customHeight="false" outlineLevel="0" collapsed="false">
      <c r="A18" s="55" t="s">
        <v>676</v>
      </c>
      <c r="B18" s="56" t="s">
        <v>80</v>
      </c>
      <c r="C18" s="16" t="s">
        <v>107</v>
      </c>
      <c r="D18" s="18" t="s">
        <v>111</v>
      </c>
      <c r="E18" s="57" t="n">
        <v>6</v>
      </c>
      <c r="F18" s="56" t="s">
        <v>673</v>
      </c>
      <c r="G18" s="58"/>
    </row>
    <row r="19" customFormat="false" ht="15" hidden="false" customHeight="false" outlineLevel="0" collapsed="false">
      <c r="A19" s="59" t="s">
        <v>676</v>
      </c>
      <c r="B19" s="60" t="s">
        <v>249</v>
      </c>
      <c r="C19" s="26" t="s">
        <v>677</v>
      </c>
      <c r="D19" s="26" t="s">
        <v>253</v>
      </c>
      <c r="E19" s="61" t="n">
        <v>5</v>
      </c>
      <c r="F19" s="60" t="s">
        <v>673</v>
      </c>
      <c r="G19" s="58"/>
    </row>
    <row r="20" customFormat="false" ht="15" hidden="false" customHeight="false" outlineLevel="0" collapsed="false">
      <c r="A20" s="55" t="s">
        <v>676</v>
      </c>
      <c r="B20" s="56" t="s">
        <v>194</v>
      </c>
      <c r="C20" s="16" t="s">
        <v>199</v>
      </c>
      <c r="D20" s="18" t="s">
        <v>203</v>
      </c>
      <c r="E20" s="57" t="n">
        <v>4</v>
      </c>
      <c r="F20" s="56" t="s">
        <v>673</v>
      </c>
      <c r="G20" s="58"/>
    </row>
    <row r="21" customFormat="false" ht="15" hidden="false" customHeight="false" outlineLevel="0" collapsed="false">
      <c r="A21" s="59" t="s">
        <v>676</v>
      </c>
      <c r="B21" s="60" t="s">
        <v>249</v>
      </c>
      <c r="C21" s="26" t="s">
        <v>254</v>
      </c>
      <c r="D21" s="24" t="s">
        <v>255</v>
      </c>
      <c r="E21" s="61" t="n">
        <v>4</v>
      </c>
      <c r="F21" s="60" t="s">
        <v>673</v>
      </c>
      <c r="G21" s="58"/>
    </row>
    <row r="22" customFormat="false" ht="15" hidden="false" customHeight="false" outlineLevel="0" collapsed="false">
      <c r="A22" s="55" t="s">
        <v>676</v>
      </c>
      <c r="B22" s="56" t="s">
        <v>385</v>
      </c>
      <c r="C22" s="16" t="s">
        <v>678</v>
      </c>
      <c r="D22" s="16" t="s">
        <v>417</v>
      </c>
      <c r="E22" s="57" t="n">
        <v>4</v>
      </c>
      <c r="F22" s="56" t="s">
        <v>673</v>
      </c>
      <c r="G22" s="58"/>
    </row>
    <row r="23" customFormat="false" ht="15" hidden="false" customHeight="false" outlineLevel="0" collapsed="false">
      <c r="A23" s="59" t="s">
        <v>676</v>
      </c>
      <c r="B23" s="60" t="s">
        <v>528</v>
      </c>
      <c r="C23" s="24" t="s">
        <v>679</v>
      </c>
      <c r="D23" s="26" t="s">
        <v>556</v>
      </c>
      <c r="E23" s="61" t="n">
        <v>4</v>
      </c>
      <c r="F23" s="60" t="s">
        <v>673</v>
      </c>
      <c r="G23" s="58"/>
    </row>
    <row r="24" customFormat="false" ht="15" hidden="false" customHeight="false" outlineLevel="0" collapsed="false">
      <c r="A24" s="55" t="s">
        <v>676</v>
      </c>
      <c r="B24" s="15" t="s">
        <v>584</v>
      </c>
      <c r="C24" s="16" t="s">
        <v>680</v>
      </c>
      <c r="D24" s="18" t="s">
        <v>594</v>
      </c>
      <c r="E24" s="57" t="n">
        <v>4</v>
      </c>
      <c r="F24" s="56" t="s">
        <v>673</v>
      </c>
      <c r="G24" s="58"/>
    </row>
    <row r="25" customFormat="false" ht="15" hidden="false" customHeight="false" outlineLevel="0" collapsed="false">
      <c r="A25" s="59" t="s">
        <v>676</v>
      </c>
      <c r="B25" s="60" t="s">
        <v>291</v>
      </c>
      <c r="C25" s="24" t="s">
        <v>681</v>
      </c>
      <c r="D25" s="26" t="s">
        <v>301</v>
      </c>
      <c r="E25" s="61" t="n">
        <v>3</v>
      </c>
      <c r="F25" s="60" t="s">
        <v>673</v>
      </c>
      <c r="G25" s="58"/>
    </row>
    <row r="26" customFormat="false" ht="15" hidden="false" customHeight="false" outlineLevel="0" collapsed="false">
      <c r="A26" s="55" t="s">
        <v>676</v>
      </c>
      <c r="B26" s="56" t="s">
        <v>479</v>
      </c>
      <c r="C26" s="16" t="s">
        <v>486</v>
      </c>
      <c r="D26" s="18" t="s">
        <v>490</v>
      </c>
      <c r="E26" s="57" t="n">
        <v>3</v>
      </c>
      <c r="F26" s="56" t="s">
        <v>673</v>
      </c>
      <c r="G26" s="58"/>
    </row>
    <row r="27" customFormat="false" ht="15" hidden="false" customHeight="false" outlineLevel="0" collapsed="false">
      <c r="A27" s="59" t="s">
        <v>676</v>
      </c>
      <c r="B27" s="60" t="s">
        <v>492</v>
      </c>
      <c r="C27" s="24" t="s">
        <v>523</v>
      </c>
      <c r="D27" s="24" t="s">
        <v>526</v>
      </c>
      <c r="E27" s="61" t="n">
        <v>3</v>
      </c>
      <c r="F27" s="60" t="s">
        <v>673</v>
      </c>
      <c r="G27" s="58"/>
    </row>
    <row r="28" customFormat="false" ht="15" hidden="false" customHeight="false" outlineLevel="0" collapsed="false">
      <c r="A28" s="55" t="s">
        <v>676</v>
      </c>
      <c r="B28" s="15" t="s">
        <v>584</v>
      </c>
      <c r="C28" s="16" t="s">
        <v>682</v>
      </c>
      <c r="D28" s="18" t="s">
        <v>589</v>
      </c>
      <c r="E28" s="57" t="n">
        <v>3</v>
      </c>
      <c r="F28" s="56" t="s">
        <v>673</v>
      </c>
      <c r="G28" s="58"/>
    </row>
    <row r="29" customFormat="false" ht="15" hidden="false" customHeight="false" outlineLevel="0" collapsed="false">
      <c r="A29" s="59" t="s">
        <v>676</v>
      </c>
      <c r="B29" s="23" t="s">
        <v>584</v>
      </c>
      <c r="C29" s="24" t="s">
        <v>595</v>
      </c>
      <c r="D29" s="26" t="s">
        <v>598</v>
      </c>
      <c r="E29" s="61" t="n">
        <v>3</v>
      </c>
      <c r="F29" s="60" t="s">
        <v>673</v>
      </c>
      <c r="G29" s="58"/>
    </row>
    <row r="30" customFormat="false" ht="15" hidden="false" customHeight="false" outlineLevel="0" collapsed="false">
      <c r="A30" s="55" t="s">
        <v>676</v>
      </c>
      <c r="B30" s="56" t="s">
        <v>80</v>
      </c>
      <c r="C30" s="16" t="s">
        <v>81</v>
      </c>
      <c r="D30" s="18" t="s">
        <v>86</v>
      </c>
      <c r="E30" s="57" t="n">
        <v>2.5</v>
      </c>
      <c r="F30" s="56" t="s">
        <v>673</v>
      </c>
      <c r="G30" s="58"/>
    </row>
    <row r="31" customFormat="false" ht="15" hidden="false" customHeight="false" outlineLevel="0" collapsed="false">
      <c r="A31" s="59" t="s">
        <v>676</v>
      </c>
      <c r="B31" s="60" t="s">
        <v>194</v>
      </c>
      <c r="C31" s="24" t="s">
        <v>209</v>
      </c>
      <c r="D31" s="24" t="s">
        <v>213</v>
      </c>
      <c r="E31" s="61" t="n">
        <v>2.5</v>
      </c>
      <c r="F31" s="60" t="s">
        <v>673</v>
      </c>
      <c r="G31" s="58"/>
    </row>
    <row r="32" customFormat="false" ht="15" hidden="false" customHeight="false" outlineLevel="0" collapsed="false">
      <c r="A32" s="55" t="s">
        <v>676</v>
      </c>
      <c r="B32" s="56" t="s">
        <v>80</v>
      </c>
      <c r="C32" s="16" t="s">
        <v>281</v>
      </c>
      <c r="D32" s="18" t="s">
        <v>285</v>
      </c>
      <c r="E32" s="57" t="n">
        <v>2.5</v>
      </c>
      <c r="F32" s="56" t="s">
        <v>673</v>
      </c>
      <c r="G32" s="58"/>
    </row>
    <row r="33" customFormat="false" ht="15" hidden="false" customHeight="false" outlineLevel="0" collapsed="false">
      <c r="A33" s="59" t="s">
        <v>676</v>
      </c>
      <c r="B33" s="60" t="s">
        <v>385</v>
      </c>
      <c r="C33" s="24" t="s">
        <v>386</v>
      </c>
      <c r="D33" s="26" t="s">
        <v>674</v>
      </c>
      <c r="E33" s="61" t="n">
        <v>2.5</v>
      </c>
      <c r="F33" s="60" t="s">
        <v>673</v>
      </c>
      <c r="G33" s="58"/>
    </row>
    <row r="34" customFormat="false" ht="15" hidden="false" customHeight="false" outlineLevel="0" collapsed="false">
      <c r="A34" s="55" t="s">
        <v>676</v>
      </c>
      <c r="B34" s="56" t="s">
        <v>385</v>
      </c>
      <c r="C34" s="16" t="s">
        <v>683</v>
      </c>
      <c r="D34" s="16" t="s">
        <v>459</v>
      </c>
      <c r="E34" s="57" t="n">
        <v>2.5</v>
      </c>
      <c r="F34" s="56" t="s">
        <v>673</v>
      </c>
      <c r="G34" s="58"/>
    </row>
    <row r="35" customFormat="false" ht="15" hidden="false" customHeight="false" outlineLevel="0" collapsed="false">
      <c r="A35" s="59" t="s">
        <v>676</v>
      </c>
      <c r="B35" s="60" t="s">
        <v>68</v>
      </c>
      <c r="C35" s="24" t="s">
        <v>74</v>
      </c>
      <c r="D35" s="26" t="s">
        <v>78</v>
      </c>
      <c r="E35" s="61" t="n">
        <v>2</v>
      </c>
      <c r="F35" s="60" t="s">
        <v>673</v>
      </c>
      <c r="G35" s="58"/>
    </row>
    <row r="36" customFormat="false" ht="15" hidden="false" customHeight="false" outlineLevel="0" collapsed="false">
      <c r="A36" s="55" t="s">
        <v>676</v>
      </c>
      <c r="B36" s="56" t="s">
        <v>385</v>
      </c>
      <c r="C36" s="16" t="s">
        <v>684</v>
      </c>
      <c r="D36" s="16" t="s">
        <v>398</v>
      </c>
      <c r="E36" s="57" t="n">
        <v>2</v>
      </c>
      <c r="F36" s="56" t="s">
        <v>673</v>
      </c>
      <c r="G36" s="58"/>
    </row>
    <row r="37" customFormat="false" ht="15" hidden="false" customHeight="false" outlineLevel="0" collapsed="false">
      <c r="A37" s="59" t="s">
        <v>676</v>
      </c>
      <c r="B37" s="60" t="s">
        <v>479</v>
      </c>
      <c r="C37" s="24" t="s">
        <v>480</v>
      </c>
      <c r="D37" s="26" t="s">
        <v>484</v>
      </c>
      <c r="E37" s="61" t="n">
        <v>2</v>
      </c>
      <c r="F37" s="60" t="s">
        <v>673</v>
      </c>
      <c r="G37" s="58"/>
    </row>
    <row r="38" customFormat="false" ht="15" hidden="false" customHeight="false" outlineLevel="0" collapsed="false">
      <c r="A38" s="55" t="s">
        <v>676</v>
      </c>
      <c r="B38" s="56" t="s">
        <v>528</v>
      </c>
      <c r="C38" s="16" t="s">
        <v>547</v>
      </c>
      <c r="D38" s="18" t="s">
        <v>551</v>
      </c>
      <c r="E38" s="57" t="n">
        <v>2</v>
      </c>
      <c r="F38" s="56" t="s">
        <v>673</v>
      </c>
      <c r="G38" s="58"/>
    </row>
    <row r="39" customFormat="false" ht="15" hidden="false" customHeight="false" outlineLevel="0" collapsed="false">
      <c r="A39" s="59" t="s">
        <v>676</v>
      </c>
      <c r="B39" s="60" t="s">
        <v>80</v>
      </c>
      <c r="C39" s="24" t="s">
        <v>125</v>
      </c>
      <c r="D39" s="26" t="s">
        <v>129</v>
      </c>
      <c r="E39" s="61" t="n">
        <v>1.5</v>
      </c>
      <c r="F39" s="60" t="s">
        <v>673</v>
      </c>
      <c r="G39" s="58"/>
    </row>
    <row r="40" customFormat="false" ht="15" hidden="false" customHeight="false" outlineLevel="0" collapsed="false">
      <c r="A40" s="55" t="s">
        <v>676</v>
      </c>
      <c r="B40" s="56" t="s">
        <v>131</v>
      </c>
      <c r="C40" s="16" t="s">
        <v>139</v>
      </c>
      <c r="D40" s="16" t="s">
        <v>142</v>
      </c>
      <c r="E40" s="57" t="n">
        <v>1.5</v>
      </c>
      <c r="F40" s="56" t="s">
        <v>673</v>
      </c>
      <c r="G40" s="58"/>
    </row>
    <row r="41" customFormat="false" ht="15" hidden="false" customHeight="false" outlineLevel="0" collapsed="false">
      <c r="A41" s="59" t="s">
        <v>676</v>
      </c>
      <c r="B41" s="60" t="s">
        <v>131</v>
      </c>
      <c r="C41" s="24" t="s">
        <v>158</v>
      </c>
      <c r="D41" s="26" t="s">
        <v>162</v>
      </c>
      <c r="E41" s="61" t="n">
        <v>1.5</v>
      </c>
      <c r="F41" s="60" t="s">
        <v>673</v>
      </c>
      <c r="G41" s="58"/>
    </row>
    <row r="42" customFormat="false" ht="15" hidden="false" customHeight="false" outlineLevel="0" collapsed="false">
      <c r="A42" s="55" t="s">
        <v>676</v>
      </c>
      <c r="B42" s="56" t="s">
        <v>80</v>
      </c>
      <c r="C42" s="16" t="s">
        <v>685</v>
      </c>
      <c r="D42" s="18" t="s">
        <v>280</v>
      </c>
      <c r="E42" s="57" t="n">
        <v>1.5</v>
      </c>
      <c r="F42" s="56" t="s">
        <v>673</v>
      </c>
      <c r="G42" s="58"/>
    </row>
    <row r="43" customFormat="false" ht="15" hidden="false" customHeight="false" outlineLevel="0" collapsed="false">
      <c r="A43" s="59" t="s">
        <v>676</v>
      </c>
      <c r="B43" s="60" t="s">
        <v>326</v>
      </c>
      <c r="C43" s="24" t="s">
        <v>359</v>
      </c>
      <c r="D43" s="26" t="s">
        <v>674</v>
      </c>
      <c r="E43" s="61" t="n">
        <v>1.5</v>
      </c>
      <c r="F43" s="60" t="s">
        <v>673</v>
      </c>
      <c r="G43" s="58"/>
    </row>
    <row r="44" customFormat="false" ht="15" hidden="false" customHeight="false" outlineLevel="0" collapsed="false">
      <c r="A44" s="55" t="s">
        <v>676</v>
      </c>
      <c r="B44" s="56" t="s">
        <v>326</v>
      </c>
      <c r="C44" s="16" t="s">
        <v>686</v>
      </c>
      <c r="D44" s="18" t="s">
        <v>674</v>
      </c>
      <c r="E44" s="57" t="n">
        <v>1.5</v>
      </c>
      <c r="F44" s="56" t="s">
        <v>673</v>
      </c>
      <c r="G44" s="58"/>
    </row>
    <row r="45" customFormat="false" ht="15" hidden="false" customHeight="false" outlineLevel="0" collapsed="false">
      <c r="A45" s="59" t="s">
        <v>676</v>
      </c>
      <c r="B45" s="60" t="s">
        <v>385</v>
      </c>
      <c r="C45" s="24" t="s">
        <v>402</v>
      </c>
      <c r="D45" s="24" t="s">
        <v>406</v>
      </c>
      <c r="E45" s="61" t="n">
        <v>1.5</v>
      </c>
      <c r="F45" s="60" t="s">
        <v>673</v>
      </c>
      <c r="G45" s="58"/>
    </row>
    <row r="46" customFormat="false" ht="15" hidden="false" customHeight="false" outlineLevel="0" collapsed="false">
      <c r="A46" s="55" t="s">
        <v>676</v>
      </c>
      <c r="B46" s="56" t="s">
        <v>131</v>
      </c>
      <c r="C46" s="16" t="s">
        <v>149</v>
      </c>
      <c r="D46" s="18" t="s">
        <v>153</v>
      </c>
      <c r="E46" s="57" t="n">
        <v>1</v>
      </c>
      <c r="F46" s="56" t="s">
        <v>673</v>
      </c>
      <c r="G46" s="58"/>
    </row>
    <row r="47" customFormat="false" ht="15" hidden="false" customHeight="false" outlineLevel="0" collapsed="false">
      <c r="A47" s="59" t="s">
        <v>676</v>
      </c>
      <c r="B47" s="60" t="s">
        <v>326</v>
      </c>
      <c r="C47" s="24" t="s">
        <v>351</v>
      </c>
      <c r="D47" s="26" t="s">
        <v>674</v>
      </c>
      <c r="E47" s="61" t="n">
        <v>1</v>
      </c>
      <c r="F47" s="60" t="s">
        <v>673</v>
      </c>
      <c r="G47" s="58"/>
    </row>
    <row r="48" customFormat="false" ht="15" hidden="false" customHeight="false" outlineLevel="0" collapsed="false">
      <c r="A48" s="55" t="s">
        <v>676</v>
      </c>
      <c r="B48" s="56" t="s">
        <v>385</v>
      </c>
      <c r="C48" s="16" t="s">
        <v>399</v>
      </c>
      <c r="D48" s="18" t="s">
        <v>674</v>
      </c>
      <c r="E48" s="57" t="n">
        <v>1</v>
      </c>
      <c r="F48" s="56" t="s">
        <v>673</v>
      </c>
      <c r="G48" s="58"/>
    </row>
    <row r="49" customFormat="false" ht="15" hidden="false" customHeight="false" outlineLevel="0" collapsed="false">
      <c r="A49" s="59" t="s">
        <v>676</v>
      </c>
      <c r="B49" s="60" t="s">
        <v>463</v>
      </c>
      <c r="C49" s="24" t="s">
        <v>470</v>
      </c>
      <c r="D49" s="24" t="s">
        <v>473</v>
      </c>
      <c r="E49" s="61" t="n">
        <v>1</v>
      </c>
      <c r="F49" s="60" t="s">
        <v>673</v>
      </c>
      <c r="G49" s="58"/>
    </row>
    <row r="50" customFormat="false" ht="15" hidden="false" customHeight="false" outlineLevel="0" collapsed="false">
      <c r="A50" s="55" t="s">
        <v>676</v>
      </c>
      <c r="B50" s="56" t="s">
        <v>463</v>
      </c>
      <c r="C50" s="16" t="s">
        <v>474</v>
      </c>
      <c r="D50" s="18" t="s">
        <v>674</v>
      </c>
      <c r="E50" s="57" t="n">
        <v>1</v>
      </c>
      <c r="F50" s="56" t="s">
        <v>673</v>
      </c>
      <c r="G50" s="58"/>
    </row>
    <row r="51" customFormat="false" ht="15" hidden="false" customHeight="false" outlineLevel="0" collapsed="false">
      <c r="A51" s="59" t="s">
        <v>676</v>
      </c>
      <c r="B51" s="60" t="s">
        <v>80</v>
      </c>
      <c r="C51" s="24" t="s">
        <v>117</v>
      </c>
      <c r="D51" s="24" t="s">
        <v>121</v>
      </c>
      <c r="E51" s="61" t="n">
        <v>0.5</v>
      </c>
      <c r="F51" s="60" t="s">
        <v>673</v>
      </c>
      <c r="G51" s="58"/>
    </row>
    <row r="52" customFormat="false" ht="15" hidden="false" customHeight="false" outlineLevel="0" collapsed="false">
      <c r="A52" s="55" t="s">
        <v>676</v>
      </c>
      <c r="B52" s="56" t="s">
        <v>131</v>
      </c>
      <c r="C52" s="16" t="s">
        <v>163</v>
      </c>
      <c r="D52" s="18" t="s">
        <v>166</v>
      </c>
      <c r="E52" s="57" t="n">
        <v>0.5</v>
      </c>
      <c r="F52" s="56" t="s">
        <v>673</v>
      </c>
      <c r="G52" s="58"/>
    </row>
    <row r="53" customFormat="false" ht="15" hidden="false" customHeight="false" outlineLevel="0" collapsed="false">
      <c r="A53" s="59" t="s">
        <v>676</v>
      </c>
      <c r="B53" s="60" t="s">
        <v>131</v>
      </c>
      <c r="C53" s="24" t="s">
        <v>167</v>
      </c>
      <c r="D53" s="26" t="s">
        <v>674</v>
      </c>
      <c r="E53" s="61" t="n">
        <v>0.5</v>
      </c>
      <c r="F53" s="60" t="s">
        <v>673</v>
      </c>
      <c r="G53" s="58"/>
    </row>
    <row r="54" customFormat="false" ht="15" hidden="false" customHeight="false" outlineLevel="0" collapsed="false">
      <c r="A54" s="55" t="s">
        <v>676</v>
      </c>
      <c r="B54" s="56" t="s">
        <v>194</v>
      </c>
      <c r="C54" s="16" t="s">
        <v>222</v>
      </c>
      <c r="D54" s="18" t="s">
        <v>674</v>
      </c>
      <c r="E54" s="57" t="n">
        <v>0.5</v>
      </c>
      <c r="F54" s="56" t="s">
        <v>673</v>
      </c>
      <c r="G54" s="58"/>
    </row>
    <row r="55" customFormat="false" ht="15" hidden="false" customHeight="false" outlineLevel="0" collapsed="false">
      <c r="A55" s="59" t="s">
        <v>676</v>
      </c>
      <c r="B55" s="60" t="s">
        <v>326</v>
      </c>
      <c r="C55" s="24" t="s">
        <v>353</v>
      </c>
      <c r="D55" s="26" t="s">
        <v>356</v>
      </c>
      <c r="E55" s="61" t="n">
        <v>0.5</v>
      </c>
      <c r="F55" s="60" t="s">
        <v>673</v>
      </c>
      <c r="G55" s="58"/>
    </row>
    <row r="56" customFormat="false" ht="15" hidden="false" customHeight="false" outlineLevel="0" collapsed="false">
      <c r="A56" s="55" t="s">
        <v>676</v>
      </c>
      <c r="B56" s="56" t="s">
        <v>326</v>
      </c>
      <c r="C56" s="16" t="s">
        <v>375</v>
      </c>
      <c r="D56" s="18" t="s">
        <v>674</v>
      </c>
      <c r="E56" s="57" t="n">
        <v>0.5</v>
      </c>
      <c r="F56" s="56" t="s">
        <v>673</v>
      </c>
      <c r="G56" s="58"/>
    </row>
    <row r="57" customFormat="false" ht="15" hidden="false" customHeight="false" outlineLevel="0" collapsed="false">
      <c r="A57" s="59" t="s">
        <v>676</v>
      </c>
      <c r="B57" s="60" t="s">
        <v>385</v>
      </c>
      <c r="C57" s="24" t="s">
        <v>687</v>
      </c>
      <c r="D57" s="26" t="s">
        <v>674</v>
      </c>
      <c r="E57" s="61" t="n">
        <v>0.5</v>
      </c>
      <c r="F57" s="60" t="s">
        <v>673</v>
      </c>
      <c r="G57" s="58"/>
    </row>
    <row r="58" customFormat="false" ht="15" hidden="false" customHeight="false" outlineLevel="0" collapsed="false">
      <c r="A58" s="55" t="s">
        <v>676</v>
      </c>
      <c r="B58" s="56" t="s">
        <v>385</v>
      </c>
      <c r="C58" s="16" t="s">
        <v>418</v>
      </c>
      <c r="D58" s="18" t="s">
        <v>421</v>
      </c>
      <c r="E58" s="57" t="n">
        <v>0.5</v>
      </c>
      <c r="F58" s="56" t="s">
        <v>673</v>
      </c>
      <c r="G58" s="58"/>
    </row>
    <row r="59" customFormat="false" ht="15" hidden="false" customHeight="false" outlineLevel="0" collapsed="false">
      <c r="A59" s="59" t="s">
        <v>676</v>
      </c>
      <c r="B59" s="60" t="s">
        <v>492</v>
      </c>
      <c r="C59" s="24" t="s">
        <v>508</v>
      </c>
      <c r="D59" s="26" t="s">
        <v>512</v>
      </c>
      <c r="E59" s="61" t="n">
        <v>0.5</v>
      </c>
      <c r="F59" s="60" t="s">
        <v>673</v>
      </c>
      <c r="G59" s="58"/>
    </row>
    <row r="60" customFormat="false" ht="15" hidden="false" customHeight="false" outlineLevel="0" collapsed="false">
      <c r="A60" s="55" t="s">
        <v>688</v>
      </c>
      <c r="B60" s="56" t="s">
        <v>385</v>
      </c>
      <c r="C60" s="18" t="s">
        <v>689</v>
      </c>
      <c r="D60" s="16" t="s">
        <v>412</v>
      </c>
      <c r="E60" s="57" t="n">
        <v>8</v>
      </c>
      <c r="F60" s="56" t="s">
        <v>690</v>
      </c>
      <c r="G60" s="58"/>
    </row>
    <row r="61" customFormat="false" ht="15" hidden="false" customHeight="false" outlineLevel="0" collapsed="false">
      <c r="A61" s="59" t="s">
        <v>688</v>
      </c>
      <c r="B61" s="60" t="s">
        <v>249</v>
      </c>
      <c r="C61" s="24" t="s">
        <v>266</v>
      </c>
      <c r="D61" s="26" t="s">
        <v>270</v>
      </c>
      <c r="E61" s="61" t="n">
        <v>6</v>
      </c>
      <c r="F61" s="60" t="s">
        <v>690</v>
      </c>
      <c r="G61" s="58"/>
    </row>
    <row r="62" customFormat="false" ht="15" hidden="false" customHeight="false" outlineLevel="0" collapsed="false">
      <c r="A62" s="55" t="s">
        <v>688</v>
      </c>
      <c r="B62" s="56" t="s">
        <v>528</v>
      </c>
      <c r="C62" s="16" t="s">
        <v>691</v>
      </c>
      <c r="D62" s="16" t="s">
        <v>565</v>
      </c>
      <c r="E62" s="57" t="n">
        <v>5</v>
      </c>
      <c r="F62" s="56" t="s">
        <v>690</v>
      </c>
      <c r="G62" s="58"/>
    </row>
    <row r="63" customFormat="false" ht="15" hidden="false" customHeight="false" outlineLevel="0" collapsed="false">
      <c r="A63" s="59" t="s">
        <v>688</v>
      </c>
      <c r="B63" s="23" t="s">
        <v>613</v>
      </c>
      <c r="C63" s="26" t="s">
        <v>692</v>
      </c>
      <c r="D63" s="24" t="s">
        <v>619</v>
      </c>
      <c r="E63" s="61" t="n">
        <v>4</v>
      </c>
      <c r="F63" s="60" t="s">
        <v>690</v>
      </c>
      <c r="G63" s="58"/>
    </row>
    <row r="64" customFormat="false" ht="15" hidden="false" customHeight="false" outlineLevel="0" collapsed="false">
      <c r="A64" s="55" t="s">
        <v>688</v>
      </c>
      <c r="B64" s="56" t="s">
        <v>249</v>
      </c>
      <c r="C64" s="18" t="s">
        <v>256</v>
      </c>
      <c r="D64" s="16" t="s">
        <v>258</v>
      </c>
      <c r="E64" s="57" t="n">
        <v>3.5</v>
      </c>
      <c r="F64" s="56" t="s">
        <v>690</v>
      </c>
      <c r="G64" s="58"/>
    </row>
    <row r="65" customFormat="false" ht="15" hidden="false" customHeight="false" outlineLevel="0" collapsed="false">
      <c r="A65" s="59" t="s">
        <v>688</v>
      </c>
      <c r="B65" s="60" t="s">
        <v>249</v>
      </c>
      <c r="C65" s="26" t="s">
        <v>259</v>
      </c>
      <c r="D65" s="24" t="s">
        <v>260</v>
      </c>
      <c r="E65" s="61" t="n">
        <v>3.5</v>
      </c>
      <c r="F65" s="60" t="s">
        <v>690</v>
      </c>
      <c r="G65" s="58"/>
    </row>
    <row r="66" customFormat="false" ht="15" hidden="false" customHeight="false" outlineLevel="0" collapsed="false">
      <c r="A66" s="55" t="s">
        <v>688</v>
      </c>
      <c r="B66" s="56" t="s">
        <v>131</v>
      </c>
      <c r="C66" s="16" t="s">
        <v>144</v>
      </c>
      <c r="D66" s="16" t="s">
        <v>148</v>
      </c>
      <c r="E66" s="57" t="n">
        <v>3</v>
      </c>
      <c r="F66" s="56" t="s">
        <v>690</v>
      </c>
      <c r="G66" s="58"/>
    </row>
    <row r="67" customFormat="false" ht="15" hidden="false" customHeight="false" outlineLevel="0" collapsed="false">
      <c r="A67" s="59" t="s">
        <v>688</v>
      </c>
      <c r="B67" s="23" t="s">
        <v>613</v>
      </c>
      <c r="C67" s="24" t="s">
        <v>623</v>
      </c>
      <c r="D67" s="24" t="s">
        <v>626</v>
      </c>
      <c r="E67" s="61" t="n">
        <v>3</v>
      </c>
      <c r="F67" s="60" t="s">
        <v>690</v>
      </c>
      <c r="G67" s="58"/>
    </row>
    <row r="68" customFormat="false" ht="15" hidden="false" customHeight="false" outlineLevel="0" collapsed="false">
      <c r="A68" s="55" t="s">
        <v>688</v>
      </c>
      <c r="B68" s="56" t="s">
        <v>249</v>
      </c>
      <c r="C68" s="18" t="s">
        <v>693</v>
      </c>
      <c r="D68" s="16" t="s">
        <v>265</v>
      </c>
      <c r="E68" s="57" t="n">
        <v>2.5</v>
      </c>
      <c r="F68" s="56" t="s">
        <v>690</v>
      </c>
      <c r="G68" s="58"/>
    </row>
    <row r="69" customFormat="false" ht="15" hidden="false" customHeight="false" outlineLevel="0" collapsed="false">
      <c r="A69" s="59" t="s">
        <v>688</v>
      </c>
      <c r="B69" s="60" t="s">
        <v>291</v>
      </c>
      <c r="C69" s="24" t="s">
        <v>302</v>
      </c>
      <c r="D69" s="26" t="s">
        <v>238</v>
      </c>
      <c r="E69" s="61" t="n">
        <v>1.5</v>
      </c>
      <c r="F69" s="60" t="s">
        <v>690</v>
      </c>
      <c r="G69" s="58"/>
    </row>
    <row r="70" customFormat="false" ht="15" hidden="false" customHeight="false" outlineLevel="0" collapsed="false">
      <c r="A70" s="55" t="s">
        <v>688</v>
      </c>
      <c r="B70" s="56" t="s">
        <v>385</v>
      </c>
      <c r="C70" s="16" t="s">
        <v>439</v>
      </c>
      <c r="D70" s="16" t="s">
        <v>442</v>
      </c>
      <c r="E70" s="57" t="n">
        <v>1.5</v>
      </c>
      <c r="F70" s="56" t="s">
        <v>690</v>
      </c>
      <c r="G70" s="58"/>
    </row>
    <row r="71" customFormat="false" ht="15" hidden="false" customHeight="false" outlineLevel="0" collapsed="false">
      <c r="A71" s="59" t="s">
        <v>688</v>
      </c>
      <c r="B71" s="60" t="s">
        <v>194</v>
      </c>
      <c r="C71" s="24" t="s">
        <v>234</v>
      </c>
      <c r="D71" s="26" t="s">
        <v>238</v>
      </c>
      <c r="E71" s="61" t="n">
        <v>1</v>
      </c>
      <c r="F71" s="60" t="s">
        <v>690</v>
      </c>
      <c r="G71" s="58"/>
    </row>
    <row r="72" customFormat="false" ht="15" hidden="false" customHeight="false" outlineLevel="0" collapsed="false">
      <c r="A72" s="55" t="s">
        <v>688</v>
      </c>
      <c r="B72" s="56" t="s">
        <v>80</v>
      </c>
      <c r="C72" s="16" t="s">
        <v>272</v>
      </c>
      <c r="D72" s="16" t="s">
        <v>275</v>
      </c>
      <c r="E72" s="57" t="n">
        <v>1</v>
      </c>
      <c r="F72" s="56" t="s">
        <v>690</v>
      </c>
      <c r="G72" s="58"/>
    </row>
    <row r="73" customFormat="false" ht="15" hidden="false" customHeight="false" outlineLevel="0" collapsed="false">
      <c r="A73" s="59" t="s">
        <v>688</v>
      </c>
      <c r="B73" s="60" t="s">
        <v>326</v>
      </c>
      <c r="C73" s="24" t="s">
        <v>357</v>
      </c>
      <c r="D73" s="26" t="s">
        <v>674</v>
      </c>
      <c r="E73" s="61" t="n">
        <v>1</v>
      </c>
      <c r="F73" s="60" t="s">
        <v>690</v>
      </c>
      <c r="G73" s="58"/>
    </row>
    <row r="74" customFormat="false" ht="15" hidden="false" customHeight="false" outlineLevel="0" collapsed="false">
      <c r="A74" s="55" t="s">
        <v>688</v>
      </c>
      <c r="B74" s="56" t="s">
        <v>385</v>
      </c>
      <c r="C74" s="16" t="s">
        <v>443</v>
      </c>
      <c r="D74" s="16" t="s">
        <v>445</v>
      </c>
      <c r="E74" s="57" t="n">
        <v>1</v>
      </c>
      <c r="F74" s="56" t="s">
        <v>690</v>
      </c>
      <c r="G74" s="58"/>
    </row>
    <row r="75" customFormat="false" ht="15" hidden="false" customHeight="false" outlineLevel="0" collapsed="false">
      <c r="A75" s="59" t="s">
        <v>688</v>
      </c>
      <c r="B75" s="60" t="s">
        <v>385</v>
      </c>
      <c r="C75" s="24" t="s">
        <v>446</v>
      </c>
      <c r="D75" s="24" t="s">
        <v>448</v>
      </c>
      <c r="E75" s="61" t="n">
        <v>1</v>
      </c>
      <c r="F75" s="60" t="s">
        <v>690</v>
      </c>
      <c r="G75" s="58"/>
    </row>
    <row r="76" customFormat="false" ht="15" hidden="false" customHeight="false" outlineLevel="0" collapsed="false">
      <c r="A76" s="55" t="s">
        <v>688</v>
      </c>
      <c r="B76" s="56" t="s">
        <v>385</v>
      </c>
      <c r="C76" s="16" t="s">
        <v>453</v>
      </c>
      <c r="D76" s="16" t="s">
        <v>455</v>
      </c>
      <c r="E76" s="57" t="n">
        <v>1</v>
      </c>
      <c r="F76" s="56" t="s">
        <v>690</v>
      </c>
      <c r="G76" s="58"/>
    </row>
    <row r="77" customFormat="false" ht="15" hidden="false" customHeight="false" outlineLevel="0" collapsed="false">
      <c r="A77" s="59" t="s">
        <v>688</v>
      </c>
      <c r="B77" s="60" t="s">
        <v>528</v>
      </c>
      <c r="C77" s="24" t="s">
        <v>557</v>
      </c>
      <c r="D77" s="26" t="s">
        <v>561</v>
      </c>
      <c r="E77" s="61" t="n">
        <v>1</v>
      </c>
      <c r="F77" s="60" t="s">
        <v>690</v>
      </c>
      <c r="G77" s="58"/>
    </row>
    <row r="78" customFormat="false" ht="15" hidden="false" customHeight="false" outlineLevel="0" collapsed="false">
      <c r="A78" s="55" t="s">
        <v>688</v>
      </c>
      <c r="B78" s="15" t="s">
        <v>584</v>
      </c>
      <c r="C78" s="16" t="s">
        <v>694</v>
      </c>
      <c r="D78" s="18" t="s">
        <v>674</v>
      </c>
      <c r="E78" s="57" t="n">
        <v>1</v>
      </c>
      <c r="F78" s="56" t="s">
        <v>690</v>
      </c>
      <c r="G78" s="58"/>
    </row>
    <row r="79" customFormat="false" ht="15" hidden="false" customHeight="false" outlineLevel="0" collapsed="false">
      <c r="A79" s="59" t="s">
        <v>688</v>
      </c>
      <c r="B79" s="60" t="s">
        <v>291</v>
      </c>
      <c r="C79" s="24" t="s">
        <v>311</v>
      </c>
      <c r="D79" s="26" t="s">
        <v>315</v>
      </c>
      <c r="E79" s="61" t="n">
        <v>0.5</v>
      </c>
      <c r="F79" s="60" t="s">
        <v>690</v>
      </c>
      <c r="G79" s="58"/>
    </row>
    <row r="80" customFormat="false" ht="15" hidden="false" customHeight="false" outlineLevel="0" collapsed="false">
      <c r="A80" s="55" t="s">
        <v>688</v>
      </c>
      <c r="B80" s="56" t="s">
        <v>385</v>
      </c>
      <c r="C80" s="16" t="s">
        <v>437</v>
      </c>
      <c r="D80" s="18" t="s">
        <v>674</v>
      </c>
      <c r="E80" s="57" t="n">
        <v>0.5</v>
      </c>
      <c r="F80" s="56" t="s">
        <v>690</v>
      </c>
      <c r="G80" s="58"/>
    </row>
    <row r="81" customFormat="false" ht="15" hidden="false" customHeight="false" outlineLevel="0" collapsed="false">
      <c r="A81" s="59" t="s">
        <v>688</v>
      </c>
      <c r="B81" s="60" t="s">
        <v>385</v>
      </c>
      <c r="C81" s="24" t="s">
        <v>449</v>
      </c>
      <c r="D81" s="26" t="s">
        <v>452</v>
      </c>
      <c r="E81" s="61" t="n">
        <v>0.5</v>
      </c>
      <c r="F81" s="60" t="s">
        <v>690</v>
      </c>
      <c r="G81" s="58"/>
    </row>
    <row r="82" customFormat="false" ht="15" hidden="false" customHeight="false" outlineLevel="0" collapsed="false">
      <c r="A82" s="55" t="s">
        <v>688</v>
      </c>
      <c r="B82" s="56" t="s">
        <v>385</v>
      </c>
      <c r="C82" s="16" t="s">
        <v>695</v>
      </c>
      <c r="D82" s="18" t="s">
        <v>674</v>
      </c>
      <c r="E82" s="57" t="n">
        <v>0.5</v>
      </c>
      <c r="F82" s="56" t="s">
        <v>690</v>
      </c>
      <c r="G82" s="58"/>
    </row>
    <row r="83" customFormat="false" ht="17.15" hidden="false" customHeight="false" outlineLevel="0" collapsed="false">
      <c r="D83" s="62" t="s">
        <v>664</v>
      </c>
      <c r="E83" s="53" t="n">
        <f aca="false">SUM(E4:E82)</f>
        <v>160</v>
      </c>
    </row>
    <row r="85" customFormat="false" ht="15" hidden="false" customHeight="false" outlineLevel="0" collapsed="false">
      <c r="A85" s="63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37" t="s">
        <v>18</v>
      </c>
    </row>
    <row r="3" customFormat="false" ht="15" hidden="false" customHeight="false" outlineLevel="0" collapsed="false">
      <c r="A3" s="13" t="s">
        <v>697</v>
      </c>
      <c r="B3" s="13" t="s">
        <v>698</v>
      </c>
      <c r="C3" s="13" t="s">
        <v>699</v>
      </c>
    </row>
    <row r="4" customFormat="false" ht="15" hidden="false" customHeight="false" outlineLevel="0" collapsed="false">
      <c r="A4" s="16" t="s">
        <v>700</v>
      </c>
      <c r="B4" s="18" t="s">
        <v>701</v>
      </c>
      <c r="C4" s="16" t="s">
        <v>702</v>
      </c>
    </row>
    <row r="5" customFormat="false" ht="15" hidden="false" customHeight="false" outlineLevel="0" collapsed="false">
      <c r="A5" s="24" t="s">
        <v>703</v>
      </c>
      <c r="B5" s="26" t="s">
        <v>704</v>
      </c>
      <c r="C5" s="24" t="s">
        <v>705</v>
      </c>
    </row>
    <row r="6" customFormat="false" ht="15" hidden="false" customHeight="false" outlineLevel="0" collapsed="false">
      <c r="A6" s="16" t="s">
        <v>703</v>
      </c>
      <c r="B6" s="18" t="s">
        <v>706</v>
      </c>
      <c r="C6" s="16" t="s">
        <v>707</v>
      </c>
    </row>
    <row r="7" customFormat="false" ht="15" hidden="false" customHeight="false" outlineLevel="0" collapsed="false">
      <c r="A7" s="24" t="s">
        <v>703</v>
      </c>
      <c r="B7" s="26" t="s">
        <v>708</v>
      </c>
      <c r="C7" s="24" t="s">
        <v>709</v>
      </c>
    </row>
    <row r="8" customFormat="false" ht="15" hidden="false" customHeight="false" outlineLevel="0" collapsed="false">
      <c r="A8" s="16" t="s">
        <v>703</v>
      </c>
      <c r="B8" s="18" t="s">
        <v>710</v>
      </c>
      <c r="C8" s="16" t="s">
        <v>711</v>
      </c>
    </row>
    <row r="9" customFormat="false" ht="15" hidden="false" customHeight="false" outlineLevel="0" collapsed="false">
      <c r="A9" s="24" t="s">
        <v>703</v>
      </c>
      <c r="B9" s="26" t="s">
        <v>712</v>
      </c>
      <c r="C9" s="24" t="s">
        <v>713</v>
      </c>
    </row>
    <row r="10" customFormat="false" ht="15" hidden="false" customHeight="false" outlineLevel="0" collapsed="false">
      <c r="A10" s="16" t="s">
        <v>703</v>
      </c>
      <c r="B10" s="18" t="s">
        <v>714</v>
      </c>
      <c r="C10" s="16" t="s">
        <v>715</v>
      </c>
    </row>
    <row r="11" customFormat="false" ht="15" hidden="false" customHeight="false" outlineLevel="0" collapsed="false">
      <c r="A11" s="24" t="s">
        <v>703</v>
      </c>
      <c r="B11" s="26" t="s">
        <v>716</v>
      </c>
      <c r="C11" s="24" t="s">
        <v>717</v>
      </c>
    </row>
    <row r="12" customFormat="false" ht="15" hidden="false" customHeight="false" outlineLevel="0" collapsed="false">
      <c r="A12" s="16" t="s">
        <v>703</v>
      </c>
      <c r="B12" s="18" t="s">
        <v>718</v>
      </c>
      <c r="C12" s="16" t="s">
        <v>719</v>
      </c>
    </row>
    <row r="13" customFormat="false" ht="15" hidden="false" customHeight="false" outlineLevel="0" collapsed="false">
      <c r="A13" s="24" t="s">
        <v>720</v>
      </c>
      <c r="B13" s="26" t="s">
        <v>721</v>
      </c>
      <c r="C13" s="24" t="s">
        <v>722</v>
      </c>
    </row>
    <row r="16" customFormat="false" ht="15" hidden="false" customHeight="false" outlineLevel="0" collapsed="false">
      <c r="A16" s="54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2026-07-30T13:30:16Z</dcterms:created>
  <dc:creator>openpyxl</dc:creator>
  <dc:description/>
  <dc:language>en-US</dc:language>
  <cp:lastModifiedBy/>
  <dcterms:modified xsi:type="dcterms:W3CDTF">2026-07-30T13:30:16Z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